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T Governance" sheetId="2" state="visible" r:id="rId4"/>
    <sheet name="IT Infrastructure" sheetId="3" state="visible" r:id="rId5"/>
    <sheet name="Cybersecurity" sheetId="4" state="visible" r:id="rId6"/>
    <sheet name="BCP&amp;DR" sheetId="5" state="visible" r:id="rId7"/>
    <sheet name="IS Audit" sheetId="6" state="visible" r:id="rId8"/>
    <sheet name="IT Outsourcing" sheetId="7" state="visible" r:id="rId9"/>
    <sheet name="Change&amp;SDLC" sheetId="8" state="visible" r:id="rId10"/>
    <sheet name="Data Management" sheetId="9" state="visible" r:id="rId11"/>
    <sheet name="Digital Banking&amp;Payments" sheetId="10" state="visible" r:id="rId12"/>
    <sheet name="HR&amp;Physical Security" sheetId="11" state="visible" r:id="rId13"/>
    <sheet name="Fraud Risk&amp;Resilienc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<sst xmlns="http://schemas.openxmlformats.org/spreadsheetml/2006/main" count="2188" uniqueCount="936">
  <si>
    <t xml:space="preserve">RBI IT EXAMINATION — AUDIT TOOLKIT</t>
  </si>
  <si>
    <t xml:space="preserve">Public Sector Bank  |  Based on RBI Master Directions on IT Governance (2023), Cyber Security Framework, DPDP Act 2023</t>
  </si>
  <si>
    <t xml:space="preserve">Version 1.0  |  Covers: IT Governance, Infrastructure, Cybersecurity, BCP/DR, IS Audit, Outsourcing, Change, Data, Digital Banking, HR Security, Fraud Risk</t>
  </si>
  <si>
    <t xml:space="preserve">Domain</t>
  </si>
  <si>
    <t xml:space="preserve">Sheet</t>
  </si>
  <si>
    <t xml:space="preserve">Total Controls</t>
  </si>
  <si>
    <t xml:space="preserve">Compliant</t>
  </si>
  <si>
    <t xml:space="preserve">Partial</t>
  </si>
  <si>
    <t xml:space="preserve">Non-Compliant</t>
  </si>
  <si>
    <t xml:space="preserve">N/A</t>
  </si>
  <si>
    <t xml:space="preserve">Score %</t>
  </si>
  <si>
    <t xml:space="preserve">IT Governance</t>
  </si>
  <si>
    <t xml:space="preserve">IT Infrastructure</t>
  </si>
  <si>
    <t xml:space="preserve">Cybersecurity</t>
  </si>
  <si>
    <t xml:space="preserve">BCP &amp; DR</t>
  </si>
  <si>
    <t xml:space="preserve">BCP&amp;DR</t>
  </si>
  <si>
    <t xml:space="preserve">IS Audit</t>
  </si>
  <si>
    <t xml:space="preserve">IT Outsourcing</t>
  </si>
  <si>
    <t xml:space="preserve">Change &amp; SDLC</t>
  </si>
  <si>
    <t xml:space="preserve">Change&amp;SDLC</t>
  </si>
  <si>
    <t xml:space="preserve">Data Management</t>
  </si>
  <si>
    <t xml:space="preserve">Digital Banking &amp; Payments</t>
  </si>
  <si>
    <t xml:space="preserve">Digital Banking&amp;Payments</t>
  </si>
  <si>
    <t xml:space="preserve">HR &amp; Physical Security</t>
  </si>
  <si>
    <t xml:space="preserve">HR&amp;Physical Security</t>
  </si>
  <si>
    <t xml:space="preserve">Fraud Risk &amp; Resilience</t>
  </si>
  <si>
    <t xml:space="preserve">Fraud Risk&amp;Resilience</t>
  </si>
  <si>
    <t xml:space="preserve">TOTAL</t>
  </si>
  <si>
    <t xml:space="preserve">HOW TO USE THIS TOOLKIT</t>
  </si>
  <si>
    <t xml:space="preserve">Step 1</t>
  </si>
  <si>
    <t xml:space="preserve">Navigate to each domain sheet (tabs at bottom) and review each control</t>
  </si>
  <si>
    <t xml:space="preserve">Step 2</t>
  </si>
  <si>
    <t xml:space="preserve">For each control, select the Compliance Status from the dropdown in column J</t>
  </si>
  <si>
    <t xml:space="preserve">Step 3</t>
  </si>
  <si>
    <t xml:space="preserve">Enter your Observations in column K, Evidence Reference in column M, and Auditor Name/Date in columns N-O</t>
  </si>
  <si>
    <t xml:space="preserve">Step 4</t>
  </si>
  <si>
    <t xml:space="preserve">Enter Management Response in column P and Target Closure Date in column Q</t>
  </si>
  <si>
    <t xml:space="preserve">Step 5</t>
  </si>
  <si>
    <t xml:space="preserve">The Dashboard auto-calculates scores as you update status in each sheet</t>
  </si>
  <si>
    <t xml:space="preserve">Step 6</t>
  </si>
  <si>
    <t xml:space="preserve">Use the Audit Rating column (column R) to assign Satisfactory / Needs Improvement / Unsatisfactory</t>
  </si>
  <si>
    <t xml:space="preserve">Note</t>
  </si>
  <si>
    <t xml:space="preserve">Risk levels: Critical = Regulatory breach risk | High = Significant control gap | Medium = Moderate risk | Low = Minor risk</t>
  </si>
  <si>
    <t xml:space="preserve">RBI IT Examination — IT Governance</t>
  </si>
  <si>
    <t xml:space="preserve">Ctrl ID</t>
  </si>
  <si>
    <t xml:space="preserve">Sub-domain</t>
  </si>
  <si>
    <t xml:space="preserve">Control Statement / Audit Question</t>
  </si>
  <si>
    <t xml:space="preserve">RBI Reference</t>
  </si>
  <si>
    <t xml:space="preserve">Risk Level</t>
  </si>
  <si>
    <t xml:space="preserve">Control Type</t>
  </si>
  <si>
    <t xml:space="preserve">Frequency</t>
  </si>
  <si>
    <t xml:space="preserve">Evidence Required</t>
  </si>
  <si>
    <t xml:space="preserve">Compliance Status</t>
  </si>
  <si>
    <t xml:space="preserve">Auditor Observations</t>
  </si>
  <si>
    <t xml:space="preserve">Evidence Reference / Document</t>
  </si>
  <si>
    <t xml:space="preserve">Auditor Name</t>
  </si>
  <si>
    <t xml:space="preserve">Audit Date</t>
  </si>
  <si>
    <t xml:space="preserve">Management Response</t>
  </si>
  <si>
    <t xml:space="preserve">Target Closure Date</t>
  </si>
  <si>
    <t xml:space="preserve">Audit Rating</t>
  </si>
  <si>
    <t xml:space="preserve">Remarks</t>
  </si>
  <si>
    <t xml:space="preserve">GOV-001</t>
  </si>
  <si>
    <t xml:space="preserve">IT Strategy &amp; Board Oversight</t>
  </si>
  <si>
    <t xml:space="preserve">Is an IT Strategy Committee (ITSC) constituted at Board level with defined ToR, meeting at least 4 times/year, and documented minutes maintained?</t>
  </si>
  <si>
    <t xml:space="preserve">RBI MD IT §3.1 (2023)</t>
  </si>
  <si>
    <t xml:space="preserve">Critical</t>
  </si>
  <si>
    <t xml:space="preserve">Detective</t>
  </si>
  <si>
    <t xml:space="preserve">Quarterly</t>
  </si>
  <si>
    <t xml:space="preserve">ITSC minutes, ToR document, Board resolution</t>
  </si>
  <si>
    <t xml:space="preserve">Not Tested</t>
  </si>
  <si>
    <t xml:space="preserve">GOV-002</t>
  </si>
  <si>
    <t xml:space="preserve">Is a Board-approved IT Strategy document in place, aligned with business strategy, reviewed every 3 years or on major business change?</t>
  </si>
  <si>
    <t xml:space="preserve">RBI MD IT §3.2 (2023)</t>
  </si>
  <si>
    <t xml:space="preserve">High</t>
  </si>
  <si>
    <t xml:space="preserve">Preventive</t>
  </si>
  <si>
    <t xml:space="preserve">Annual</t>
  </si>
  <si>
    <t xml:space="preserve">Board-approved IT strategy, review notes</t>
  </si>
  <si>
    <t xml:space="preserve">GOV-003</t>
  </si>
  <si>
    <t xml:space="preserve">Does the IT strategy cover digital transformation, cloud adoption, cybersecurity roadmap, and emerging technology plans?</t>
  </si>
  <si>
    <t xml:space="preserve">RBI MD IT §3.3 (2023)</t>
  </si>
  <si>
    <t xml:space="preserve">IT strategy document sections</t>
  </si>
  <si>
    <t xml:space="preserve">GOV-004</t>
  </si>
  <si>
    <t xml:space="preserve">IT Steering Committee</t>
  </si>
  <si>
    <t xml:space="preserve">Is an IT Steering Committee (ISC) at executive level constituted with CIO, CISO, CFO, and business heads as members?</t>
  </si>
  <si>
    <t xml:space="preserve">RBI MD IT §3.4 (2023)</t>
  </si>
  <si>
    <t xml:space="preserve">Monthly</t>
  </si>
  <si>
    <t xml:space="preserve">ISC charter, meeting minutes</t>
  </si>
  <si>
    <t xml:space="preserve">GOV-005</t>
  </si>
  <si>
    <t xml:space="preserve">Does the ISC meet at least monthly with formal agenda, documented decisions, and action tracker reviewed?</t>
  </si>
  <si>
    <t xml:space="preserve">RBI MD IT §3.5 (2023)</t>
  </si>
  <si>
    <t xml:space="preserve">Medium</t>
  </si>
  <si>
    <t xml:space="preserve">ISC meeting minutes (last 12 months)</t>
  </si>
  <si>
    <t xml:space="preserve">GOV-006</t>
  </si>
  <si>
    <t xml:space="preserve">IT Policy Framework</t>
  </si>
  <si>
    <t xml:space="preserve">Is a comprehensive IT policy framework in place covering all critical areas (security, BCP, vendor, change, incident, access, data) approved by Board?</t>
  </si>
  <si>
    <t xml:space="preserve">RBI MD IT §4.1 (2023)</t>
  </si>
  <si>
    <t xml:space="preserve">Policy list with approval dates, Board minutes</t>
  </si>
  <si>
    <t xml:space="preserve">GOV-007</t>
  </si>
  <si>
    <t xml:space="preserve">Are all IT policies reviewed at least annually, updated for new regulatory requirements and emerging threats, with version control maintained?</t>
  </si>
  <si>
    <t xml:space="preserve">RBI MD IT §4.2 (2023)</t>
  </si>
  <si>
    <t xml:space="preserve">Policy revision history, last review date</t>
  </si>
  <si>
    <t xml:space="preserve">GOV-008</t>
  </si>
  <si>
    <t xml:space="preserve">Is there a documented policy exception management process — logging, CISO/CIO approval, time-bound exceptions with auto-expiry, and periodic review?</t>
  </si>
  <si>
    <t xml:space="preserve">RBI MD IT §4.3 (2023)</t>
  </si>
  <si>
    <t xml:space="preserve">Exception register, approval emails, closure records</t>
  </si>
  <si>
    <t xml:space="preserve">GOV-009</t>
  </si>
  <si>
    <t xml:space="preserve">IT Organisation</t>
  </si>
  <si>
    <t xml:space="preserve">Is a dedicated Chief Information Officer (CIO) appointed with adequate experience (min. 10 years IT), reporting directly to MD&amp;CEO or Board?</t>
  </si>
  <si>
    <t xml:space="preserve">RBI MD IT §5.1 (2023)</t>
  </si>
  <si>
    <t xml:space="preserve">CIO appointment letter, org chart, reporting line</t>
  </si>
  <si>
    <t xml:space="preserve">GOV-010</t>
  </si>
  <si>
    <t xml:space="preserve">Is a Chief Information Security Officer (CISO) appointed at DGM/GM level or above, independent of IT operations, with direct access to Board/ACB?</t>
  </si>
  <si>
    <t xml:space="preserve">RBI MD IT §5.2 (2023)</t>
  </si>
  <si>
    <t xml:space="preserve">CISO appointment, independence evidence, ACB reporting</t>
  </si>
  <si>
    <t xml:space="preserve">GOV-011</t>
  </si>
  <si>
    <t xml:space="preserve">Are roles and responsibilities for IT governance clearly documented in RACI/RASCI matrices, communicated, and signed off by role holders?</t>
  </si>
  <si>
    <t xml:space="preserve">RBI MD IT §5.3 (2023)</t>
  </si>
  <si>
    <t xml:space="preserve">RACI matrix, role acceptance emails/records</t>
  </si>
  <si>
    <t xml:space="preserve">GOV-012</t>
  </si>
  <si>
    <t xml:space="preserve">Is there a dedicated IT Risk Management function separate from IT operations with qualified staff and reporting to CRO?</t>
  </si>
  <si>
    <t xml:space="preserve">RBI MD IT §5.4 (2023)</t>
  </si>
  <si>
    <t xml:space="preserve">IT Risk function org chart, CRO reporting evidence</t>
  </si>
  <si>
    <t xml:space="preserve">GOV-013</t>
  </si>
  <si>
    <t xml:space="preserve">IT Risk Management</t>
  </si>
  <si>
    <t xml:space="preserve">Are IT-related risks formally identified, assessed, and included in the bank's Risk Register, RAF, and ICAAP?</t>
  </si>
  <si>
    <t xml:space="preserve">RBI MD IT §6.1 (2023)</t>
  </si>
  <si>
    <t xml:space="preserve">IT risk register entries, RAF document, ICAAP IT section</t>
  </si>
  <si>
    <t xml:space="preserve">GOV-014</t>
  </si>
  <si>
    <t xml:space="preserve">Is a formal IT Risk Assessment (ITRA) conducted at least annually covering all critical IT assets, processes, and third parties?</t>
  </si>
  <si>
    <t xml:space="preserve">RBI MD IT §6.2 (2023)</t>
  </si>
  <si>
    <t xml:space="preserve">IT risk assessment report, methodology, sign-off</t>
  </si>
  <si>
    <t xml:space="preserve">GOV-015</t>
  </si>
  <si>
    <t xml:space="preserve">Are key IT risk indicators (KRIs) defined, monitored monthly, and reported to ITSC/Board with breach escalation process?</t>
  </si>
  <si>
    <t xml:space="preserve">RBI MD IT §6.3 (2023)</t>
  </si>
  <si>
    <t xml:space="preserve">KRI dashboard, breach reports, escalation evidence</t>
  </si>
  <si>
    <t xml:space="preserve">GOV-016</t>
  </si>
  <si>
    <t xml:space="preserve">Is IT risk appetite defined quantitatively (e.g., max system downtime, max data loss threshold) and approved by Board?</t>
  </si>
  <si>
    <t xml:space="preserve">RBI MD IT §6.4 (2023)</t>
  </si>
  <si>
    <t xml:space="preserve">IT risk appetite statement in RAF</t>
  </si>
  <si>
    <t xml:space="preserve">GOV-017</t>
  </si>
  <si>
    <t xml:space="preserve">IT Awareness &amp; Training</t>
  </si>
  <si>
    <t xml:space="preserve">Is a structured IT and cybersecurity awareness programme in place covering all staff, with annual mandatory training and completion tracking?</t>
  </si>
  <si>
    <t xml:space="preserve">RBI MD IT §7.1 (2023)</t>
  </si>
  <si>
    <t xml:space="preserve">Training completion reports, LMS records</t>
  </si>
  <si>
    <t xml:space="preserve">GOV-018</t>
  </si>
  <si>
    <t xml:space="preserve">Is specialised cybersecurity training provided to IT and security staff (min. 40 hours/year) including certifications (CISA, CISSP, CEH)?</t>
  </si>
  <si>
    <t xml:space="preserve">RBI MD IT §7.2 (2023)</t>
  </si>
  <si>
    <t xml:space="preserve">Training records, certification evidence</t>
  </si>
  <si>
    <t xml:space="preserve">GOV-019</t>
  </si>
  <si>
    <t xml:space="preserve">Is phishing simulation conducted at least quarterly with click-rate tracked and repeat offenders given mandatory training?</t>
  </si>
  <si>
    <t xml:space="preserve">RBI Cyber Circular</t>
  </si>
  <si>
    <t xml:space="preserve">Phishing simulation reports, remediation records</t>
  </si>
  <si>
    <t xml:space="preserve">GOV-020</t>
  </si>
  <si>
    <t xml:space="preserve">IT Budget &amp; Investment</t>
  </si>
  <si>
    <t xml:space="preserve">Is IT budget reviewed and approved by ITSC/Board annually with allocation for cybersecurity (min. 15% of IT budget as per RBI guidance)?</t>
  </si>
  <si>
    <t xml:space="preserve">RBI MD IT §8.1 (2023)</t>
  </si>
  <si>
    <t xml:space="preserve">IT budget document, cybersecurity allocation details</t>
  </si>
  <si>
    <t xml:space="preserve">GOV-021</t>
  </si>
  <si>
    <t xml:space="preserve">Regulatory Reporting</t>
  </si>
  <si>
    <t xml:space="preserve">Are all mandatory IT-related regulatory reports (RBI Cyber Incident, CSITE, UIDAI) submitted on time with accuracy checks?</t>
  </si>
  <si>
    <t xml:space="preserve">RBI Reporting Circular</t>
  </si>
  <si>
    <t xml:space="preserve">As applicable</t>
  </si>
  <si>
    <t xml:space="preserve">Submission acknowledgements, timeliness records</t>
  </si>
  <si>
    <t xml:space="preserve">GOV-022</t>
  </si>
  <si>
    <t xml:space="preserve">Is a regulatory change management process in place to track new RBI/NPCI/IDRBT circulars and implement compliance within prescribed timelines?</t>
  </si>
  <si>
    <t xml:space="preserve">RBI MD IT §8.3 (2023)</t>
  </si>
  <si>
    <t xml:space="preserve">Circular tracker, implementation evidence</t>
  </si>
  <si>
    <t xml:space="preserve">RBI IT Examination — IT Infrastructure</t>
  </si>
  <si>
    <t xml:space="preserve">INF-001</t>
  </si>
  <si>
    <t xml:space="preserve">Data Centre — Physical</t>
  </si>
  <si>
    <t xml:space="preserve">Is the primary data centre physically secured with multi-factor biometric access (card + biometric), 24x7 CCTV coverage with 90-day minimum retention?</t>
  </si>
  <si>
    <t xml:space="preserve">RBI MD IT §9.1 (2023)</t>
  </si>
  <si>
    <t xml:space="preserve">Semi-Annual</t>
  </si>
  <si>
    <t xml:space="preserve">Access control logs, CCTV policy, retention proof</t>
  </si>
  <si>
    <t xml:space="preserve">INF-002</t>
  </si>
  <si>
    <t xml:space="preserve">Are environmental controls in place in DC — fire suppression (FM200/VESDA), UPS, DG sets with auto-failover, precision AC, and leakage detection?</t>
  </si>
  <si>
    <t xml:space="preserve">RBI MD IT §9.2 (2023)</t>
  </si>
  <si>
    <t xml:space="preserve">Environmental monitoring reports, maintenance records</t>
  </si>
  <si>
    <t xml:space="preserve">INF-003</t>
  </si>
  <si>
    <t xml:space="preserve">Is access to data centre restricted to authorised personnel only with visitor log maintenance and escort policy?</t>
  </si>
  <si>
    <t xml:space="preserve">RBI MD IT §9.3 (2023)</t>
  </si>
  <si>
    <t xml:space="preserve">Visitor logs, access authorisation list</t>
  </si>
  <si>
    <t xml:space="preserve">INF-004</t>
  </si>
  <si>
    <t xml:space="preserve">DR Site</t>
  </si>
  <si>
    <t xml:space="preserve">Is a Disaster Recovery (DR) site established in a geographically separate location (different seismic zone), meeting Tier 3 or above standards?</t>
  </si>
  <si>
    <t xml:space="preserve">RBI MD IT §10.1 (2023)</t>
  </si>
  <si>
    <t xml:space="preserve">DR site certificate, seismic zone documentation</t>
  </si>
  <si>
    <t xml:space="preserve">INF-005</t>
  </si>
  <si>
    <t xml:space="preserve">Is DR site connected to primary DC via diverse network paths (dual MPLS/leased lines with different ISPs) with tested failover capability?</t>
  </si>
  <si>
    <t xml:space="preserve">RBI MD IT §10.2 (2023)</t>
  </si>
  <si>
    <t xml:space="preserve">Network topology, ISP diversity evidence, failover test results</t>
  </si>
  <si>
    <t xml:space="preserve">INF-006</t>
  </si>
  <si>
    <t xml:space="preserve">Network Architecture</t>
  </si>
  <si>
    <t xml:space="preserve">Is a documented, up-to-date (within 6 months) network architecture diagram in place showing all segments, devices, and data flows?</t>
  </si>
  <si>
    <t xml:space="preserve">RBI MD IT §11.1 (2023)</t>
  </si>
  <si>
    <t xml:space="preserve">Network architecture diagram with version/date</t>
  </si>
  <si>
    <t xml:space="preserve">INF-007</t>
  </si>
  <si>
    <t xml:space="preserve">Is network segmentation implemented with separate DMZ, internal, external, and management zones; inter-zone traffic controlled by NGFW with explicit allow rules?</t>
  </si>
  <si>
    <t xml:space="preserve">RBI MD IT §11.2 (2023)</t>
  </si>
  <si>
    <t xml:space="preserve">Firewall zone diagram, rule review evidence</t>
  </si>
  <si>
    <t xml:space="preserve">INF-008</t>
  </si>
  <si>
    <t xml:space="preserve">Are firewall rules reviewed at least every 6 months with justification, owner, and expiry for each rule; unused/any-any rules removed?</t>
  </si>
  <si>
    <t xml:space="preserve">RBI MD IT §11.3 (2023)</t>
  </si>
  <si>
    <t xml:space="preserve">Firewall rule review reports, cleanup evidence</t>
  </si>
  <si>
    <t xml:space="preserve">INF-009</t>
  </si>
  <si>
    <t xml:space="preserve">Are all inter-branch communications encrypted using SSL/TLS 1.2+ or MPLS with encryption layer; plain-text protocols (Telnet, FTP) disabled?</t>
  </si>
  <si>
    <t xml:space="preserve">RBI MD IT §11.4 (2023)</t>
  </si>
  <si>
    <t xml:space="preserve">Protocol scan reports, encryption evidence</t>
  </si>
  <si>
    <t xml:space="preserve">INF-010</t>
  </si>
  <si>
    <t xml:space="preserve">Network Devices</t>
  </si>
  <si>
    <t xml:space="preserve">Is a formal patch management process in place for all network devices (routers, switches, firewalls) with SLA: Critical 7 days, High 30 days?</t>
  </si>
  <si>
    <t xml:space="preserve">RBI MD IT §11.5 (2023)</t>
  </si>
  <si>
    <t xml:space="preserve">Patch management reports, vulnerability status</t>
  </si>
  <si>
    <t xml:space="preserve">INF-011</t>
  </si>
  <si>
    <t xml:space="preserve">Are default passwords changed on all network devices and hardening standards (CIS benchmarks) applied and verified annually?</t>
  </si>
  <si>
    <t xml:space="preserve">Hardening assessment reports, device configuration review</t>
  </si>
  <si>
    <t xml:space="preserve">INF-012</t>
  </si>
  <si>
    <t xml:space="preserve">Asset Management</t>
  </si>
  <si>
    <t xml:space="preserve">Is a comprehensive IT asset register maintained (hardware, software, licenses, cloud assets) with automated discovery and quarterly reconciliation?</t>
  </si>
  <si>
    <t xml:space="preserve">RBI MD IT §12.1 (2023)</t>
  </si>
  <si>
    <t xml:space="preserve">Asset register, discovery tool reports, reconciliation evidence</t>
  </si>
  <si>
    <t xml:space="preserve">INF-013</t>
  </si>
  <si>
    <t xml:space="preserve">Is there a formal end-of-life (EOL) technology register with a time-bound migration/replacement plan approved by ITSC for all EOL assets?</t>
  </si>
  <si>
    <t xml:space="preserve">RBI MD IT §12.2 (2023)</t>
  </si>
  <si>
    <t xml:space="preserve">EOL register, migration plan, ITSC approval</t>
  </si>
  <si>
    <t xml:space="preserve">INF-014</t>
  </si>
  <si>
    <t xml:space="preserve">Endpoint Security</t>
  </si>
  <si>
    <t xml:space="preserve">Is Endpoint Detection &amp; Response (EDR/XDR) solution deployed on 100% of endpoints with central management console and real-time alerting to SOC?</t>
  </si>
  <si>
    <t xml:space="preserve">EDR deployment report, coverage dashboard, SOC alerts</t>
  </si>
  <si>
    <t xml:space="preserve">INF-015</t>
  </si>
  <si>
    <t xml:space="preserve">Is USB/removable media access disabled by default on all endpoints with a documented exception process and DLP controls enforced?</t>
  </si>
  <si>
    <t xml:space="preserve">DLP policy, USB block configuration, exception register</t>
  </si>
  <si>
    <t xml:space="preserve">INF-016</t>
  </si>
  <si>
    <t xml:space="preserve">Are all endpoint OS and application patches applied within SLA (Critical: 7 days); automated patch deployment with compliance dashboard?</t>
  </si>
  <si>
    <t xml:space="preserve">RBI MD IT §12.4 (2023)</t>
  </si>
  <si>
    <t xml:space="preserve">Patch compliance reports, exception reports</t>
  </si>
  <si>
    <t xml:space="preserve">INF-017</t>
  </si>
  <si>
    <t xml:space="preserve">Server Management</t>
  </si>
  <si>
    <t xml:space="preserve">Are server hardening standards (CIS benchmarks) applied to all production servers; hardening verification conducted annually?</t>
  </si>
  <si>
    <t xml:space="preserve">Hardening assessment, CIS benchmark scan reports</t>
  </si>
  <si>
    <t xml:space="preserve">INF-018</t>
  </si>
  <si>
    <t xml:space="preserve">Is server access logged and reviewed; root/administrator access restricted with PAM, session recording, and dual-approval for critical servers?</t>
  </si>
  <si>
    <t xml:space="preserve">RBI MD IT §12.5 (2023)</t>
  </si>
  <si>
    <t xml:space="preserve">PAM session logs, access review records</t>
  </si>
  <si>
    <t xml:space="preserve">INF-019</t>
  </si>
  <si>
    <t xml:space="preserve">Capacity &amp; Performance</t>
  </si>
  <si>
    <t xml:space="preserve">Is a capacity management process in place with monthly monitoring, trending, and proactive threshold alerts for CPU, memory, storage, bandwidth?</t>
  </si>
  <si>
    <t xml:space="preserve">RBI MD IT §13.1 (2023)</t>
  </si>
  <si>
    <t xml:space="preserve">Capacity monitoring dashboards, trending reports</t>
  </si>
  <si>
    <t xml:space="preserve">INF-020</t>
  </si>
  <si>
    <t xml:space="preserve">Are SLAs for critical applications (CBS, internet banking, payment systems) defined, monitored, and reported monthly to ISC with breach analysis?</t>
  </si>
  <si>
    <t xml:space="preserve">RBI MD IT §13.2 (2023)</t>
  </si>
  <si>
    <t xml:space="preserve">SLA monitoring reports, ISC presentations</t>
  </si>
  <si>
    <t xml:space="preserve">INF-021</t>
  </si>
  <si>
    <t xml:space="preserve">Is a formal availability management process in place tracking uptime of critical systems (target 99.9%+) with root-cause analysis for outages?</t>
  </si>
  <si>
    <t xml:space="preserve">RBI MD IT §13.3 (2023)</t>
  </si>
  <si>
    <t xml:space="preserve">Availability reports, RCA documents for outages</t>
  </si>
  <si>
    <t xml:space="preserve">INF-022</t>
  </si>
  <si>
    <t xml:space="preserve">Cloud Infrastructure</t>
  </si>
  <si>
    <t xml:space="preserve">For cloud deployments, is data residency within India ensured and contractually documented per RBI data localisation guidelines?</t>
  </si>
  <si>
    <t xml:space="preserve">RBI Cloud Circular 2018</t>
  </si>
  <si>
    <t xml:space="preserve">Cloud contracts, data residency clauses, compliance evidence</t>
  </si>
  <si>
    <t xml:space="preserve">INF-023</t>
  </si>
  <si>
    <t xml:space="preserve">Is a cloud security posture management (CSPM) tool implemented for IaaS/PaaS with misconfiguration alerts and compliance dashboards?</t>
  </si>
  <si>
    <t xml:space="preserve">RBI MD IT §14.2 (2023)</t>
  </si>
  <si>
    <t xml:space="preserve">CSPM reports, misconfiguration remediation records</t>
  </si>
  <si>
    <t xml:space="preserve">RBI IT Examination — Cybersecurity</t>
  </si>
  <si>
    <t xml:space="preserve">CYB-001</t>
  </si>
  <si>
    <t xml:space="preserve">Cyber Security Framework</t>
  </si>
  <si>
    <t xml:space="preserve">Is a Board-approved Cyber Security Policy in place aligned with RBI Cyber Security Framework (2016) and subsequent circulars (2019, 2021, 2023)?</t>
  </si>
  <si>
    <t xml:space="preserve">RBI Cyber Framework 2016</t>
  </si>
  <si>
    <t xml:space="preserve">Cyber security policy, Board approval minutes</t>
  </si>
  <si>
    <t xml:space="preserve">CYB-002</t>
  </si>
  <si>
    <t xml:space="preserve">Has the bank performed a formal cyber risk assessment (threat modelling, asset criticality, threat-actor profiling) in the last 12 months?</t>
  </si>
  <si>
    <t xml:space="preserve">RBI Cyber §3.1</t>
  </si>
  <si>
    <t xml:space="preserve">Cyber risk assessment report, methodology, sign-off</t>
  </si>
  <si>
    <t xml:space="preserve">CYB-003</t>
  </si>
  <si>
    <t xml:space="preserve">SOC &amp; SIEM</t>
  </si>
  <si>
    <t xml:space="preserve">Is a Security Operations Centre (SOC) established — in-house or managed — providing 24x7x365 monitoring with documented escalation matrix?</t>
  </si>
  <si>
    <t xml:space="preserve">RBI Cyber §4.1</t>
  </si>
  <si>
    <t xml:space="preserve">Continuous</t>
  </si>
  <si>
    <t xml:space="preserve">SOC SLA/contract, escalation matrix, staffing evidence</t>
  </si>
  <si>
    <t xml:space="preserve">CYB-004</t>
  </si>
  <si>
    <t xml:space="preserve">Is a SIEM solution deployed with coverage of all critical assets (CBS, payment gateways, internet banking, email, AD, firewalls, servers)?</t>
  </si>
  <si>
    <t xml:space="preserve">RBI Cyber §4.2</t>
  </si>
  <si>
    <t xml:space="preserve">SIEM coverage matrix, log source list</t>
  </si>
  <si>
    <t xml:space="preserve">CYB-005</t>
  </si>
  <si>
    <t xml:space="preserve">Are SIEM use cases/correlation rules reviewed and tuned every 6 months with evidence of new threat-based rule additions?</t>
  </si>
  <si>
    <t xml:space="preserve">RBI Cyber §4.3</t>
  </si>
  <si>
    <t xml:space="preserve">SIEM rule review report, tuning evidence</t>
  </si>
  <si>
    <t xml:space="preserve">CYB-006</t>
  </si>
  <si>
    <t xml:space="preserve">Is mean-time-to-detect (MTTD) and mean-time-to-respond (MTTR) tracked monthly with targets (MTTD &lt;30 min, MTTR &lt;4 hours for high-severity)?</t>
  </si>
  <si>
    <t xml:space="preserve">RBI Cyber §4.4</t>
  </si>
  <si>
    <t xml:space="preserve">SOC KPI dashboard, MTTD/MTTR reports</t>
  </si>
  <si>
    <t xml:space="preserve">CYB-007</t>
  </si>
  <si>
    <t xml:space="preserve">Privileged Access Management</t>
  </si>
  <si>
    <t xml:space="preserve">Is PAM solution implemented for all admin/privileged accounts across servers, network devices, applications, and databases?</t>
  </si>
  <si>
    <t xml:space="preserve">RBI Cyber §5.1</t>
  </si>
  <si>
    <t xml:space="preserve">PAM tool coverage report, privileged account list</t>
  </si>
  <si>
    <t xml:space="preserve">CYB-008</t>
  </si>
  <si>
    <t xml:space="preserve">Is just-in-time (JIT) access implemented for privileged accounts with session recording, dual approval, and no shared/generic admin IDs?</t>
  </si>
  <si>
    <t xml:space="preserve">RBI Cyber §5.2</t>
  </si>
  <si>
    <t xml:space="preserve">PAM session recordings, approval records, ID audit</t>
  </si>
  <si>
    <t xml:space="preserve">CYB-009</t>
  </si>
  <si>
    <t xml:space="preserve">Are privileged accounts reviewed quarterly with evidence of removal of stale/unnecessary accounts?</t>
  </si>
  <si>
    <t xml:space="preserve">RBI Cyber §5.3</t>
  </si>
  <si>
    <t xml:space="preserve">Privileged account review reports, deprovisioning evidence</t>
  </si>
  <si>
    <t xml:space="preserve">CYB-010</t>
  </si>
  <si>
    <t xml:space="preserve">Vulnerability Management</t>
  </si>
  <si>
    <t xml:space="preserve">Is vulnerability assessment (VA) conducted monthly for critical assets (CBS, payment, internet banking) and quarterly for all other assets?</t>
  </si>
  <si>
    <t xml:space="preserve">RBI Cyber §6.1</t>
  </si>
  <si>
    <t xml:space="preserve">VA scan reports, remediation tracker</t>
  </si>
  <si>
    <t xml:space="preserve">CYB-011</t>
  </si>
  <si>
    <t xml:space="preserve">Are vulnerability remediation SLAs enforced: Critical — 7 days, High — 30 days, Medium — 90 days, with CISO exception approval for breaches?</t>
  </si>
  <si>
    <t xml:space="preserve">RBI Cyber §6.2</t>
  </si>
  <si>
    <t xml:space="preserve">SLA compliance reports, exception approvals</t>
  </si>
  <si>
    <t xml:space="preserve">CYB-012</t>
  </si>
  <si>
    <t xml:space="preserve">Penetration Testing</t>
  </si>
  <si>
    <t xml:space="preserve">Is external/internal penetration testing conducted at least annually by a CERT-In empanelled auditor covering web apps, network, mobile banking, APIs?</t>
  </si>
  <si>
    <t xml:space="preserve">RBI Cyber §6.3</t>
  </si>
  <si>
    <t xml:space="preserve">Pentest reports (last 2 years), CERT-In empanelment certificate</t>
  </si>
  <si>
    <t xml:space="preserve">CYB-013</t>
  </si>
  <si>
    <t xml:space="preserve">Are all critical (P1/P2) pentest findings remediated within 30 days of report with re-test evidence and CISO sign-off?</t>
  </si>
  <si>
    <t xml:space="preserve">RBI Cyber §6.4</t>
  </si>
  <si>
    <t xml:space="preserve">Post-pentest</t>
  </si>
  <si>
    <t xml:space="preserve">Remediation tracker, re-test evidence, CISO sign-off</t>
  </si>
  <si>
    <t xml:space="preserve">CYB-014</t>
  </si>
  <si>
    <t xml:space="preserve">Threat Intelligence</t>
  </si>
  <si>
    <t xml:space="preserve">Is a threat intelligence (CTI) feed subscribed (commercial/IDRBT/CERT-In) and integrated with SOC for IOC management and proactive hunting?</t>
  </si>
  <si>
    <t xml:space="preserve">RBI Cyber §6.5</t>
  </si>
  <si>
    <t xml:space="preserve">CTI subscription, SOC integration evidence, hunting reports</t>
  </si>
  <si>
    <t xml:space="preserve">CYB-015</t>
  </si>
  <si>
    <t xml:space="preserve">Identity &amp; Access Management</t>
  </si>
  <si>
    <t xml:space="preserve">Is Multi-Factor Authentication (MFA) enforced for ALL remote access, ALL critical application logins, ALL privileged accounts, and internet banking?</t>
  </si>
  <si>
    <t xml:space="preserve">RBI Cyber §7.1</t>
  </si>
  <si>
    <t xml:space="preserve">MFA configuration evidence, coverage report, exceptions</t>
  </si>
  <si>
    <t xml:space="preserve">CYB-016</t>
  </si>
  <si>
    <t xml:space="preserve">Is access recertification (attestation) conducted quarterly for privileged accounts and at least semi-annually for all general user accounts?</t>
  </si>
  <si>
    <t xml:space="preserve">RBI Cyber §7.2</t>
  </si>
  <si>
    <t xml:space="preserve">Access review reports, manager attestation records</t>
  </si>
  <si>
    <t xml:space="preserve">CYB-017</t>
  </si>
  <si>
    <t xml:space="preserve">Is a formal Joiner-Mover-Leaver (JML) process in place with automated provisioning/deprovisioning; accounts closed within 24 hours of exit?</t>
  </si>
  <si>
    <t xml:space="preserve">RBI Cyber §7.3</t>
  </si>
  <si>
    <t xml:space="preserve">JML process document, deprovisioning TAT reports</t>
  </si>
  <si>
    <t xml:space="preserve">CYB-018</t>
  </si>
  <si>
    <t xml:space="preserve">Is password policy enforced: min. 12 characters, complexity, max. 90-day expiry, no reuse of last 12 passwords, account lockout after 5 attempts?</t>
  </si>
  <si>
    <t xml:space="preserve">RBI Cyber §7.4</t>
  </si>
  <si>
    <t xml:space="preserve">Password policy document, AD/LDAP configuration evidence</t>
  </si>
  <si>
    <t xml:space="preserve">CYB-019</t>
  </si>
  <si>
    <t xml:space="preserve">Is Single Sign-On (SSO) with role-based access control (RBAC) implemented for critical applications to reduce identity sprawl?</t>
  </si>
  <si>
    <t xml:space="preserve">RBI MD IT §7.5 (2023)</t>
  </si>
  <si>
    <t xml:space="preserve">SSO implementation evidence, RBAC matrix</t>
  </si>
  <si>
    <t xml:space="preserve">CYB-020</t>
  </si>
  <si>
    <t xml:space="preserve">Incident Response</t>
  </si>
  <si>
    <t xml:space="preserve">Is a Cyber Security Incident Response Plan (CSIRP) documented with defined roles (CIRT team), classification criteria, and response playbooks?</t>
  </si>
  <si>
    <t xml:space="preserve">RBI Cyber §8.1</t>
  </si>
  <si>
    <t xml:space="preserve">CSIRP document, CIRT roster, playbooks</t>
  </si>
  <si>
    <t xml:space="preserve">CYB-021</t>
  </si>
  <si>
    <t xml:space="preserve">Is the CSIRP tested through tabletop exercises or simulations at least annually with findings tracked and plan updated?</t>
  </si>
  <si>
    <t xml:space="preserve">RBI Cyber §8.2</t>
  </si>
  <si>
    <t xml:space="preserve">Tabletop exercise report, CSIRP update evidence</t>
  </si>
  <si>
    <t xml:space="preserve">CYB-022</t>
  </si>
  <si>
    <t xml:space="preserve">Are cyber incidents reported to RBI within 6 hours (critical), to CERT-In within 6 hours as per CERT-In Directions 2022, and on CSITE portal?</t>
  </si>
  <si>
    <t xml:space="preserve">RBI Cyber §8.3 / CERT-In Dir 2022</t>
  </si>
  <si>
    <t xml:space="preserve">Incident reports, RBI/CERT-In submission acknowledgements</t>
  </si>
  <si>
    <t xml:space="preserve">CYB-023</t>
  </si>
  <si>
    <t xml:space="preserve">Is a forensic capability (in-house or retainer DFIR firm) available for post-incident investigation with documented chain-of-custody procedures?</t>
  </si>
  <si>
    <t xml:space="preserve">RBI Cyber §8.4</t>
  </si>
  <si>
    <t xml:space="preserve">DFIR retainer agreement or in-house capability evidence</t>
  </si>
  <si>
    <t xml:space="preserve">CYB-024</t>
  </si>
  <si>
    <t xml:space="preserve">Data Loss Prevention</t>
  </si>
  <si>
    <t xml:space="preserve">Is a DLP solution (network and endpoint) deployed to monitor and prevent exfiltration of sensitive data (PAN, Aadhaar, account details)?</t>
  </si>
  <si>
    <t xml:space="preserve">RBI Cyber §9.1</t>
  </si>
  <si>
    <t xml:space="preserve">DLP deployment report, policy coverage, incident stats</t>
  </si>
  <si>
    <t xml:space="preserve">CYB-025</t>
  </si>
  <si>
    <t xml:space="preserve">Are email and web gateway DLP rules in place to detect and block transmission of sensitive data in clear text?</t>
  </si>
  <si>
    <t xml:space="preserve">RBI Cyber §9.2</t>
  </si>
  <si>
    <t xml:space="preserve">Email/web gateway DLP policy, sample alerts</t>
  </si>
  <si>
    <t xml:space="preserve">CYB-026</t>
  </si>
  <si>
    <t xml:space="preserve">Email &amp; Web Security</t>
  </si>
  <si>
    <t xml:space="preserve">Is an email security gateway deployed with anti-phishing, anti-spam, DMARC, DKIM, SPF configured and monitored?</t>
  </si>
  <si>
    <t xml:space="preserve">RBI Cyber §10.1</t>
  </si>
  <si>
    <t xml:space="preserve">Email security gateway config, DMARC/DKIM/SPF records</t>
  </si>
  <si>
    <t xml:space="preserve">CYB-027</t>
  </si>
  <si>
    <t xml:space="preserve">Is web filtering (proxy/SWG) deployed to block access to malicious/unauthorized websites with URL categorisation and SSL inspection?</t>
  </si>
  <si>
    <t xml:space="preserve">RBI Cyber §10.2</t>
  </si>
  <si>
    <t xml:space="preserve">Web filtering policy, traffic reports, blocked categories</t>
  </si>
  <si>
    <t xml:space="preserve">CYB-028</t>
  </si>
  <si>
    <t xml:space="preserve">Application Security</t>
  </si>
  <si>
    <t xml:space="preserve">Is a Web Application Firewall (WAF) deployed in front of all internet-facing applications with regular rule updates and monitoring?</t>
  </si>
  <si>
    <t xml:space="preserve">RBI Cyber §11.1</t>
  </si>
  <si>
    <t xml:space="preserve">WAF deployment evidence, rule update logs, alert reports</t>
  </si>
  <si>
    <t xml:space="preserve">CYB-029</t>
  </si>
  <si>
    <t xml:space="preserve">Is API security implemented for all banking APIs — authentication (OAuth 2.0/API keys), rate limiting, input validation, and API gateway monitoring?</t>
  </si>
  <si>
    <t xml:space="preserve">API security assessment, gateway configuration</t>
  </si>
  <si>
    <t xml:space="preserve">CYB-030</t>
  </si>
  <si>
    <t xml:space="preserve">Third-Party Risk</t>
  </si>
  <si>
    <t xml:space="preserve">Is a cybersecurity questionnaire/assessment sent to all critical IT vendors annually with follow-up on findings?</t>
  </si>
  <si>
    <t xml:space="preserve">RBI Cyber §12.1</t>
  </si>
  <si>
    <t xml:space="preserve">Vendor cyber assessment questionnaires, responses, follow-up</t>
  </si>
  <si>
    <t xml:space="preserve">CYB-031</t>
  </si>
  <si>
    <t xml:space="preserve">Cyber Drills</t>
  </si>
  <si>
    <t xml:space="preserve">Is the bank participating in IDRBT/RBI sponsored cyber drills (Samuday/CSITE drill) annually with after-action report submitted?</t>
  </si>
  <si>
    <t xml:space="preserve">Drill participation evidence, after-action report</t>
  </si>
  <si>
    <t xml:space="preserve">RBI IT Examination — BCP &amp; DR</t>
  </si>
  <si>
    <t xml:space="preserve">BCP-001</t>
  </si>
  <si>
    <t xml:space="preserve">BCP Policy &amp; Framework</t>
  </si>
  <si>
    <t xml:space="preserve">Is a Board-approved Business Continuity Policy in place with clear scope, objectives, roles, and review cycle (annual)?</t>
  </si>
  <si>
    <t xml:space="preserve">RBI BCP Guideline §3</t>
  </si>
  <si>
    <t xml:space="preserve">BCP policy, Board approval minutes</t>
  </si>
  <si>
    <t xml:space="preserve">BCP-002</t>
  </si>
  <si>
    <t xml:space="preserve">Business Impact Analysis</t>
  </si>
  <si>
    <t xml:space="preserve">Is a Business Impact Analysis (BIA) conducted and updated within the last 12 months identifying critical functions, MTD, RTO, RPO for all systems?</t>
  </si>
  <si>
    <t xml:space="preserve">RBI BCP §3.2</t>
  </si>
  <si>
    <t xml:space="preserve">BIA report, critical function list, MTD/RTO/RPO table</t>
  </si>
  <si>
    <t xml:space="preserve">BCP-003</t>
  </si>
  <si>
    <t xml:space="preserve">RTO &amp; RPO</t>
  </si>
  <si>
    <t xml:space="preserve">Are RTO and RPO defined for all critical systems, Board-approved, and technically validated through actual DR failover drills?</t>
  </si>
  <si>
    <t xml:space="preserve">RBI BCP §4.1</t>
  </si>
  <si>
    <t xml:space="preserve">RTO/RPO definitions, DR drill results proving achievement</t>
  </si>
  <si>
    <t xml:space="preserve">BCP-004</t>
  </si>
  <si>
    <t xml:space="preserve">Is RTO for Tier-1 systems (CBS, RTGS, payment) defined as ≤4 hours and RPO as ≤15 minutes with synchronous replication evidence?</t>
  </si>
  <si>
    <t xml:space="preserve">RBI BCP §4.2</t>
  </si>
  <si>
    <t xml:space="preserve">System tier classification, replication monitoring evidence</t>
  </si>
  <si>
    <t xml:space="preserve">BCP-005</t>
  </si>
  <si>
    <t xml:space="preserve">DR Drills</t>
  </si>
  <si>
    <t xml:space="preserve">Is a full DR drill (complete failover to DR site) conducted at least twice a year with documented test results, gaps identified, and tracked?</t>
  </si>
  <si>
    <t xml:space="preserve">RBI BCP §4.3</t>
  </si>
  <si>
    <t xml:space="preserve">DR drill reports (last 2 drills), gap tracker</t>
  </si>
  <si>
    <t xml:space="preserve">BCP-006</t>
  </si>
  <si>
    <t xml:space="preserve">Are DR drills conducted without prior notice to IT teams (surprise drills) at least once a year to test actual readiness?</t>
  </si>
  <si>
    <t xml:space="preserve">RBI BCP §4.4</t>
  </si>
  <si>
    <t xml:space="preserve">Surprise drill evidence, results, management sign-off</t>
  </si>
  <si>
    <t xml:space="preserve">BCP-007</t>
  </si>
  <si>
    <t xml:space="preserve">Are business teams (not just IT) included in DR drills to test end-to-end business continuity, not just technical recovery?</t>
  </si>
  <si>
    <t xml:space="preserve">RBI BCP §4.5</t>
  </si>
  <si>
    <t xml:space="preserve">Business team participation records in drill reports</t>
  </si>
  <si>
    <t xml:space="preserve">BCP-008</t>
  </si>
  <si>
    <t xml:space="preserve">Backup Management</t>
  </si>
  <si>
    <t xml:space="preserve">Are backup procedures defined for all critical data — daily incremental, weekly full — with off-site/cloud storage and encryption in transit and at rest?</t>
  </si>
  <si>
    <t xml:space="preserve">RBI BCP §5.1</t>
  </si>
  <si>
    <t xml:space="preserve">Backup policy, encryption evidence, off-site storage proof</t>
  </si>
  <si>
    <t xml:space="preserve">BCP-009</t>
  </si>
  <si>
    <t xml:space="preserve">Is backup restoration tested at least quarterly for all critical applications with success rate tracked and reported?</t>
  </si>
  <si>
    <t xml:space="preserve">RBI BCP §5.2</t>
  </si>
  <si>
    <t xml:space="preserve">Restore test reports, success/failure tracking</t>
  </si>
  <si>
    <t xml:space="preserve">BCP-010</t>
  </si>
  <si>
    <t xml:space="preserve">Is backup integrity verified (hash/checksum) and backup media tested for readability at least semi-annually?</t>
  </si>
  <si>
    <t xml:space="preserve">RBI BCP §5.3</t>
  </si>
  <si>
    <t xml:space="preserve">Integrity check reports, media readability test results</t>
  </si>
  <si>
    <t xml:space="preserve">BCP-011</t>
  </si>
  <si>
    <t xml:space="preserve">Is backup access restricted with MFA, audit logging, and separation from production environment to prevent ransomware impact?</t>
  </si>
  <si>
    <t xml:space="preserve">Backup access controls evidence, MFA configuration</t>
  </si>
  <si>
    <t xml:space="preserve">BCP-012</t>
  </si>
  <si>
    <t xml:space="preserve">Near-Zero RPO</t>
  </si>
  <si>
    <t xml:space="preserve">Is synchronous/near-synchronous replication implemented for CBS, payment systems, and core databases achieving RPO ≤15 minutes?</t>
  </si>
  <si>
    <t xml:space="preserve">RBI BCP §5.4</t>
  </si>
  <si>
    <t xml:space="preserve">Replication monitoring evidence, lag reports</t>
  </si>
  <si>
    <t xml:space="preserve">BCP-013</t>
  </si>
  <si>
    <t xml:space="preserve">Alternate Processing</t>
  </si>
  <si>
    <t xml:space="preserve">Is an alternate processing site (NEAR site) available for operational continuity during primary DC outages for critical banking operations?</t>
  </si>
  <si>
    <t xml:space="preserve">RBI BCP §6.1</t>
  </si>
  <si>
    <t xml:space="preserve">Near site details, activation procedures</t>
  </si>
  <si>
    <t xml:space="preserve">BCP-014</t>
  </si>
  <si>
    <t xml:space="preserve">Crisis Communication</t>
  </si>
  <si>
    <t xml:space="preserve">Is a crisis communication plan in place with escalation matrix including Board, RBI, NPCI, CERT-In, media, and out-of-band communication channels?</t>
  </si>
  <si>
    <t xml:space="preserve">RBI BCP §6.2</t>
  </si>
  <si>
    <t xml:space="preserve">Crisis communication plan, contact matrix, out-of-band evidence</t>
  </si>
  <si>
    <t xml:space="preserve">BCP-015</t>
  </si>
  <si>
    <t xml:space="preserve">Is a Call Tree / WhatsApp/Alternate communication channel tested at least annually to confirm reachability of key stakeholders?</t>
  </si>
  <si>
    <t xml:space="preserve">RBI BCP §6.3</t>
  </si>
  <si>
    <t xml:space="preserve">Communication test records, reachability report</t>
  </si>
  <si>
    <t xml:space="preserve">BCP-016</t>
  </si>
  <si>
    <t xml:space="preserve">BCP Training</t>
  </si>
  <si>
    <t xml:space="preserve">Is BCP awareness training conducted for all critical staff and business continuity teams annually with attendance records and test scores?</t>
  </si>
  <si>
    <t xml:space="preserve">RBI BCP §6.4</t>
  </si>
  <si>
    <t xml:space="preserve">Training completion records, awareness assessment scores</t>
  </si>
  <si>
    <t xml:space="preserve">BCP-017</t>
  </si>
  <si>
    <t xml:space="preserve">BCP Documentation</t>
  </si>
  <si>
    <t xml:space="preserve">Is a BCP document maintained with step-by-step recovery procedures for each critical system, clearly assigned to responsible teams?</t>
  </si>
  <si>
    <t xml:space="preserve">RBI BCP §7.1</t>
  </si>
  <si>
    <t xml:space="preserve">BCP recovery runbooks, ownership assignments</t>
  </si>
  <si>
    <t xml:space="preserve">BCP-018</t>
  </si>
  <si>
    <t xml:space="preserve">Pandemic / Crisis BCP</t>
  </si>
  <si>
    <t xml:space="preserve">Is a remote working / pandemic BCP in place tested and updated covering VPN capacity, endpoint security for remote devices, and third-party dependencies?</t>
  </si>
  <si>
    <t xml:space="preserve">RBI COVID Circular</t>
  </si>
  <si>
    <t xml:space="preserve">Remote working BCP, VPN capacity evidence, security controls</t>
  </si>
  <si>
    <t xml:space="preserve">RBI IT Examination — IS Audit</t>
  </si>
  <si>
    <t xml:space="preserve">ISA-001</t>
  </si>
  <si>
    <t xml:space="preserve">IS Audit Function</t>
  </si>
  <si>
    <t xml:space="preserve">Is an IS Audit function established (in-house or co-sourced) with adequate CISA/CISSP qualified resources and independent reporting to ACB?</t>
  </si>
  <si>
    <t xml:space="preserve">IS Audit charter, staff qualifications, ACB reporting evidence</t>
  </si>
  <si>
    <t xml:space="preserve">ISA-002</t>
  </si>
  <si>
    <t xml:space="preserve">Is IS Audit function independent of IT operations and information security function with no conflict of interest?</t>
  </si>
  <si>
    <t xml:space="preserve">Independence declaration, org chart showing separation</t>
  </si>
  <si>
    <t xml:space="preserve">ISA-003</t>
  </si>
  <si>
    <t xml:space="preserve">IS Audit Plan</t>
  </si>
  <si>
    <t xml:space="preserve">Is a risk-based IS Audit plan approved by ACB covering all IT systems, critical applications, infrastructure, and outsourced services annually?</t>
  </si>
  <si>
    <t xml:space="preserve">Risk-based audit plan, ACB approval minutes</t>
  </si>
  <si>
    <t xml:space="preserve">ISA-004</t>
  </si>
  <si>
    <t xml:space="preserve">Does the IS audit plan cover CBS, internet banking, mobile banking, payment systems (RTGS/NEFT/IMPS/UPI), treasury, and HR systems annually?</t>
  </si>
  <si>
    <t xml:space="preserve">RBI MD IT §9.4 (2023)</t>
  </si>
  <si>
    <t xml:space="preserve">Audit plan with scope coverage matrix</t>
  </si>
  <si>
    <t xml:space="preserve">ISA-005</t>
  </si>
  <si>
    <t xml:space="preserve">Audit Execution</t>
  </si>
  <si>
    <t xml:space="preserve">Are IS audit reports completed and submitted to ACB within 30 days of fieldwork completion with formal management responses?</t>
  </si>
  <si>
    <t xml:space="preserve">RBI MD IT §9.5 (2023)</t>
  </si>
  <si>
    <t xml:space="preserve">Per audit</t>
  </si>
  <si>
    <t xml:space="preserve">Audit reports, submission dates, ACB presentations</t>
  </si>
  <si>
    <t xml:space="preserve">ISA-006</t>
  </si>
  <si>
    <t xml:space="preserve">Finding Management</t>
  </si>
  <si>
    <t xml:space="preserve">Are IS audit findings tracked in a centralised action tracker with management responses, due dates, and evidence of closure?</t>
  </si>
  <si>
    <t xml:space="preserve">RBI MD IT §9.6 (2023)</t>
  </si>
  <si>
    <t xml:space="preserve">Action tracker, closure evidence, ageing report</t>
  </si>
  <si>
    <t xml:space="preserve">ISA-007</t>
  </si>
  <si>
    <t xml:space="preserve">Is there an escalation process for overdue IS audit findings with CISO/CIO/ACB escalation for items overdue beyond 90 days?</t>
  </si>
  <si>
    <t xml:space="preserve">RBI MD IT §9.7 (2023)</t>
  </si>
  <si>
    <t xml:space="preserve">Escalation records, overdue ageing report</t>
  </si>
  <si>
    <t xml:space="preserve">ISA-008</t>
  </si>
  <si>
    <t xml:space="preserve">Is the IS audit finding repeat status tracked (first-time vs. repeat observation) with enhanced monitoring for repeat findings?</t>
  </si>
  <si>
    <t xml:space="preserve">RBI MD IT §9.8 (2023)</t>
  </si>
  <si>
    <t xml:space="preserve">Repeat finding analysis, trend report</t>
  </si>
  <si>
    <t xml:space="preserve">ISA-009</t>
  </si>
  <si>
    <t xml:space="preserve">Concurrent Audit</t>
  </si>
  <si>
    <t xml:space="preserve">Is concurrent/continuous audit implemented for critical transactions (RTGS, CBS high-value entries, treasury deals) with real-time alerts to auditors?</t>
  </si>
  <si>
    <t xml:space="preserve">Concurrent audit system setup, alert sample evidence</t>
  </si>
  <si>
    <t xml:space="preserve">ISA-010</t>
  </si>
  <si>
    <t xml:space="preserve">Is CAAT (Computer Assisted Audit Technique) used for large data analytics, exception reports, duplicate detection, and fraud pattern analysis?</t>
  </si>
  <si>
    <t xml:space="preserve">CAAT tool evidence, sample exception reports generated</t>
  </si>
  <si>
    <t xml:space="preserve">ISA-011</t>
  </si>
  <si>
    <t xml:space="preserve">External IS Audit</t>
  </si>
  <si>
    <t xml:space="preserve">Is a system audit of critical IT systems/applications conducted by an external CERT-In empanelled auditor at least every 2 years?</t>
  </si>
  <si>
    <t xml:space="preserve">Biennial</t>
  </si>
  <si>
    <t xml:space="preserve">External audit reports, CERT-In empanelment of auditor</t>
  </si>
  <si>
    <t xml:space="preserve">ISA-012</t>
  </si>
  <si>
    <t xml:space="preserve">Is the scope of external IS audit approved by ACB covering CBS, payment systems, internet/mobile banking, and cybersecurity controls?</t>
  </si>
  <si>
    <t xml:space="preserve">Scope approval by ACB, engagement letter</t>
  </si>
  <si>
    <t xml:space="preserve">ISA-013</t>
  </si>
  <si>
    <t xml:space="preserve">Are previous external IS audit recommendations formally tracked with management responses and status updated to ACB?</t>
  </si>
  <si>
    <t xml:space="preserve">Previous recommendation tracker, ACB update evidence</t>
  </si>
  <si>
    <t xml:space="preserve">ISA-014</t>
  </si>
  <si>
    <t xml:space="preserve">Cyber Security Audit</t>
  </si>
  <si>
    <t xml:space="preserve">Is a dedicated cyber security audit (separate from IS audit) conducted annually by an external empanelled firm covering SOC, SIEM, IAM, and vulnerability management?</t>
  </si>
  <si>
    <t xml:space="preserve">Cyber audit report, auditor credentials, scope</t>
  </si>
  <si>
    <t xml:space="preserve">ISA-015</t>
  </si>
  <si>
    <t xml:space="preserve">Log Management</t>
  </si>
  <si>
    <t xml:space="preserve">Is a centralised log management system in place retaining logs for at least 1 year online and 2 years offline/archived with integrity protection?</t>
  </si>
  <si>
    <t xml:space="preserve">Log management policy, retention evidence, integrity controls</t>
  </si>
  <si>
    <t xml:space="preserve">ISA-016</t>
  </si>
  <si>
    <t xml:space="preserve">Are critical event logs (login failures, privileged access, data exports, configuration changes) reviewed daily by SOC/IS audit team?</t>
  </si>
  <si>
    <t xml:space="preserve">Daily</t>
  </si>
  <si>
    <t xml:space="preserve">Log review evidence, SOC daily review records</t>
  </si>
  <si>
    <t xml:space="preserve">RBI IT Examination — IT Outsourcing</t>
  </si>
  <si>
    <t xml:space="preserve">OUT-001</t>
  </si>
  <si>
    <t xml:space="preserve">Outsourcing Policy</t>
  </si>
  <si>
    <t xml:space="preserve">Is a Board-approved IT Outsourcing Policy in place covering risk assessment, due diligence criteria, contract requirements, monitoring, and exit strategy?</t>
  </si>
  <si>
    <t xml:space="preserve">RBI Outsourcing Guideline §3</t>
  </si>
  <si>
    <t xml:space="preserve">IT outsourcing policy, Board approval</t>
  </si>
  <si>
    <t xml:space="preserve">OUT-002</t>
  </si>
  <si>
    <t xml:space="preserve">Does the outsourcing policy explicitly prohibit sub-contracting of critical services without bank's prior written approval?</t>
  </si>
  <si>
    <t xml:space="preserve">RBI Outsourcing §3.2</t>
  </si>
  <si>
    <t xml:space="preserve">Policy sub-contractor clause, contract verification</t>
  </si>
  <si>
    <t xml:space="preserve">OUT-003</t>
  </si>
  <si>
    <t xml:space="preserve">Vendor Register</t>
  </si>
  <si>
    <t xml:space="preserve">Is a comprehensive register of all outsourced IT services maintained with risk classification (critical/non-critical) and updated quarterly?</t>
  </si>
  <si>
    <t xml:space="preserve">RBI Outsourcing §3.3</t>
  </si>
  <si>
    <t xml:space="preserve">Vendor register with criticality classification, last update date</t>
  </si>
  <si>
    <t xml:space="preserve">OUT-004</t>
  </si>
  <si>
    <t xml:space="preserve">Due Diligence</t>
  </si>
  <si>
    <t xml:space="preserve">Is a formal due diligence process for new vendor onboarding covering financial stability, security posture, regulatory compliance, and sub-contractor assessment?</t>
  </si>
  <si>
    <t xml:space="preserve">RBI Outsourcing §4.1</t>
  </si>
  <si>
    <t xml:space="preserve">Per vendor</t>
  </si>
  <si>
    <t xml:space="preserve">Due diligence checklists, assessment reports for new vendors</t>
  </si>
  <si>
    <t xml:space="preserve">OUT-005</t>
  </si>
  <si>
    <t xml:space="preserve">Is annual due diligence/reassessment conducted for all critical IT vendors with updated security questionnaires and on-site visits?</t>
  </si>
  <si>
    <t xml:space="preserve">RBI Outsourcing §4.2</t>
  </si>
  <si>
    <t xml:space="preserve">Annual vendor assessment reports, on-site visit evidence</t>
  </si>
  <si>
    <t xml:space="preserve">OUT-006</t>
  </si>
  <si>
    <t xml:space="preserve">Contract Management</t>
  </si>
  <si>
    <t xml:space="preserve">Do all critical IT vendor contracts include right-to-audit clauses enabling bank and RBI to audit vendor premises and systems?</t>
  </si>
  <si>
    <t xml:space="preserve">RBI Outsourcing §5.1</t>
  </si>
  <si>
    <t xml:space="preserve">Per contract</t>
  </si>
  <si>
    <t xml:space="preserve">Contract audit clause verification, sample contracts</t>
  </si>
  <si>
    <t xml:space="preserve">OUT-007</t>
  </si>
  <si>
    <t xml:space="preserve">Do contracts include data security requirements, regulatory access provisions, data localisation (within India), incident notification (within 6 hours), and exit clauses?</t>
  </si>
  <si>
    <t xml:space="preserve">RBI Outsourcing §5.2</t>
  </si>
  <si>
    <t xml:space="preserve">Contract clause checklist verification, sample contracts</t>
  </si>
  <si>
    <t xml:space="preserve">OUT-008</t>
  </si>
  <si>
    <t xml:space="preserve">Are SLAs and OLAs defined for all critical IT vendors covering availability (99.9%+), incident response, RTO, and security requirements?</t>
  </si>
  <si>
    <t xml:space="preserve">RBI Outsourcing §5.3</t>
  </si>
  <si>
    <t xml:space="preserve">SLA/OLA documents, monitoring evidence</t>
  </si>
  <si>
    <t xml:space="preserve">OUT-009</t>
  </si>
  <si>
    <t xml:space="preserve">Vendor Performance</t>
  </si>
  <si>
    <t xml:space="preserve">Is vendor performance reviewed quarterly with formal scorecards covering SLA adherence, security incidents, and compliance?</t>
  </si>
  <si>
    <t xml:space="preserve">RBI Outsourcing §5.4</t>
  </si>
  <si>
    <t xml:space="preserve">Vendor scorecards, performance review meetings minutes</t>
  </si>
  <si>
    <t xml:space="preserve">OUT-010</t>
  </si>
  <si>
    <t xml:space="preserve">Is there an escalation and penalty mechanism for SLA breaches with evidence of enforcement?</t>
  </si>
  <si>
    <t xml:space="preserve">RBI Outsourcing §5.5</t>
  </si>
  <si>
    <t xml:space="preserve">SLA breach records, escalation/penalty enforcement evidence</t>
  </si>
  <si>
    <t xml:space="preserve">OUT-011</t>
  </si>
  <si>
    <t xml:space="preserve">Concentration Risk</t>
  </si>
  <si>
    <t xml:space="preserve">Is a concentration risk assessment conducted for single-vendor dependencies in critical services (CBS, payment, cloud) with mitigation plans?</t>
  </si>
  <si>
    <t xml:space="preserve">RBI Outsourcing §6.1</t>
  </si>
  <si>
    <t xml:space="preserve">Concentration risk assessment, mitigation plans</t>
  </si>
  <si>
    <t xml:space="preserve">OUT-012</t>
  </si>
  <si>
    <t xml:space="preserve">Exit Management</t>
  </si>
  <si>
    <t xml:space="preserve">Is there a documented exit management plan (transition/termination) for all critical vendors covering data retrieval, knowledge transfer, and continuity?</t>
  </si>
  <si>
    <t xml:space="preserve">RBI Outsourcing §6.2</t>
  </si>
  <si>
    <t xml:space="preserve">Exit management plans, sample data retrieval test evidence</t>
  </si>
  <si>
    <t xml:space="preserve">OUT-013</t>
  </si>
  <si>
    <t xml:space="preserve">Has the exit plan for at least one critical vendor been tested (tabletop or simulation) to validate feasibility?</t>
  </si>
  <si>
    <t xml:space="preserve">RBI Outsourcing §6.3</t>
  </si>
  <si>
    <t xml:space="preserve">Exit plan test evidence, test report</t>
  </si>
  <si>
    <t xml:space="preserve">OUT-014</t>
  </si>
  <si>
    <t xml:space="preserve">Cloud Services</t>
  </si>
  <si>
    <t xml:space="preserve">For cloud deployments (IaaS/PaaS/SaaS), is a cloud risk assessment conducted before go-live covering shared responsibility, data classification, encryption?</t>
  </si>
  <si>
    <t xml:space="preserve">RBI Cloud Circular</t>
  </si>
  <si>
    <t xml:space="preserve">Per deployment</t>
  </si>
  <si>
    <t xml:space="preserve">Cloud risk assessment reports, shared responsibility matrix</t>
  </si>
  <si>
    <t xml:space="preserve">OUT-015</t>
  </si>
  <si>
    <t xml:space="preserve">Is all payment system data stored exclusively within India (no international data transfer) as per RBI payment data localisation mandate?</t>
  </si>
  <si>
    <t xml:space="preserve">RBI Payment Data Localisation 2018</t>
  </si>
  <si>
    <t xml:space="preserve">Data flow diagrams, cloud data residency certificates, contracts</t>
  </si>
  <si>
    <t xml:space="preserve">OUT-016</t>
  </si>
  <si>
    <t xml:space="preserve">Managed Services</t>
  </si>
  <si>
    <t xml:space="preserve">Is access by managed service providers (MSPs) to bank systems restricted to VPN with MFA, time-limited sessions, and full activity logging?</t>
  </si>
  <si>
    <t xml:space="preserve">MSP access policy, VPN+MFA evidence, activity logs</t>
  </si>
  <si>
    <t xml:space="preserve">OUT-017</t>
  </si>
  <si>
    <t xml:space="preserve">Vendor Audit</t>
  </si>
  <si>
    <t xml:space="preserve">Is the right-to-audit exercised for at least critical CBS/payment vendors once in 3 years with formal audit report?</t>
  </si>
  <si>
    <t xml:space="preserve">RBI Outsourcing §7.1</t>
  </si>
  <si>
    <t xml:space="preserve">Triennial</t>
  </si>
  <si>
    <t xml:space="preserve">Vendor audit reports, findings, management responses</t>
  </si>
  <si>
    <t xml:space="preserve">RBI IT Examination — Change &amp; SDLC</t>
  </si>
  <si>
    <t xml:space="preserve">CHG-001</t>
  </si>
  <si>
    <t xml:space="preserve">Change Policy</t>
  </si>
  <si>
    <t xml:space="preserve">Is a formal Change Management Policy and process in place covering standard, normal, emergency changes with approval matrix and rollback requirements?</t>
  </si>
  <si>
    <t xml:space="preserve">Change management policy, approval matrix document</t>
  </si>
  <si>
    <t xml:space="preserve">CHG-002</t>
  </si>
  <si>
    <t xml:space="preserve">Change Advisory Board</t>
  </si>
  <si>
    <t xml:space="preserve">Is a Change Advisory Board (CAB) constituted with IT, business, security, and risk function representation for change approval?</t>
  </si>
  <si>
    <t xml:space="preserve">CAB charter, membership list, meeting evidence</t>
  </si>
  <si>
    <t xml:space="preserve">CHG-003</t>
  </si>
  <si>
    <t xml:space="preserve">Does the CAB review all significant/major changes before approval with mandatory security and risk sign-off for changes to critical systems?</t>
  </si>
  <si>
    <t xml:space="preserve">RBI MD IT §12.3 (2023)</t>
  </si>
  <si>
    <t xml:space="preserve">CAB meeting minutes, approval records for critical changes</t>
  </si>
  <si>
    <t xml:space="preserve">CHG-004</t>
  </si>
  <si>
    <t xml:space="preserve">Change Testing</t>
  </si>
  <si>
    <t xml:space="preserve">Are all production changes tested in a separate non-production environment (UAT/SIT) with test evidence (test cases, results) attached to the change request?</t>
  </si>
  <si>
    <t xml:space="preserve">Per change</t>
  </si>
  <si>
    <t xml:space="preserve">Change requests with test evidence, UAT sign-off</t>
  </si>
  <si>
    <t xml:space="preserve">CHG-005</t>
  </si>
  <si>
    <t xml:space="preserve">Is security testing (SAST/DAST) mandatory for all changes to internet-facing and critical banking applications before production deployment?</t>
  </si>
  <si>
    <t xml:space="preserve">Security test reports linked to change requests</t>
  </si>
  <si>
    <t xml:space="preserve">CHG-006</t>
  </si>
  <si>
    <t xml:space="preserve">Rollback Plan</t>
  </si>
  <si>
    <t xml:space="preserve">Is there a documented rollback plan for all significant changes with clearly defined decision point, rollback procedure, and post-rollback validation?</t>
  </si>
  <si>
    <t xml:space="preserve">RBI MD IT §12.6 (2023)</t>
  </si>
  <si>
    <t xml:space="preserve">Rollback plan in change requests, sample rollback tests</t>
  </si>
  <si>
    <t xml:space="preserve">CHG-007</t>
  </si>
  <si>
    <t xml:space="preserve">Emergency Change</t>
  </si>
  <si>
    <t xml:space="preserve">Is there a defined Emergency Change (EC) process with post-implementation review within 48 hours and retrospective CAB approval?</t>
  </si>
  <si>
    <t xml:space="preserve">RBI MD IT §12.7 (2023)</t>
  </si>
  <si>
    <t xml:space="preserve">Per EC</t>
  </si>
  <si>
    <t xml:space="preserve">Emergency change process doc, post-implementation review records</t>
  </si>
  <si>
    <t xml:space="preserve">CHG-008</t>
  </si>
  <si>
    <t xml:space="preserve">Change Metrics</t>
  </si>
  <si>
    <t xml:space="preserve">Are change success rate, failed changes, and emergency change ratio tracked monthly and reported to ISC with trend analysis?</t>
  </si>
  <si>
    <t xml:space="preserve">RBI MD IT §12.8 (2023)</t>
  </si>
  <si>
    <t xml:space="preserve">Change KPI dashboard, ISC reports</t>
  </si>
  <si>
    <t xml:space="preserve">CHG-009</t>
  </si>
  <si>
    <t xml:space="preserve">Secure SDLC</t>
  </si>
  <si>
    <t xml:space="preserve">Is a Secure SDLC (SSDLC) policy mandating security requirements gathering, threat modelling, SAST/DAST, and security sign-off before production release?</t>
  </si>
  <si>
    <t xml:space="preserve">SSDLC policy, security gates checklist, sample compliance</t>
  </si>
  <si>
    <t xml:space="preserve">CHG-010</t>
  </si>
  <si>
    <t xml:space="preserve">Are SAST (static analysis) and DAST (dynamic analysis) tools integrated in CI/CD pipeline for all critical banking application deployments?</t>
  </si>
  <si>
    <t xml:space="preserve">Per release</t>
  </si>
  <si>
    <t xml:space="preserve">SAST/DAST tool reports linked to CI/CD pipeline</t>
  </si>
  <si>
    <t xml:space="preserve">CHG-011</t>
  </si>
  <si>
    <t xml:space="preserve">Is source code security review (manual or automated) conducted for all in-house developed and significantly modified banking applications?</t>
  </si>
  <si>
    <t xml:space="preserve">Code review reports, tool reports, findings</t>
  </si>
  <si>
    <t xml:space="preserve">CHG-012</t>
  </si>
  <si>
    <t xml:space="preserve">Is third-party/open source component analysis (SCA) conducted to identify vulnerable libraries before production deployment?</t>
  </si>
  <si>
    <t xml:space="preserve">RBI MD IT §13.4 (2023)</t>
  </si>
  <si>
    <t xml:space="preserve">SCA scan reports, vulnerable component remediation</t>
  </si>
  <si>
    <t xml:space="preserve">CHG-013</t>
  </si>
  <si>
    <t xml:space="preserve">UAT</t>
  </si>
  <si>
    <t xml:space="preserve">Is a formal User Acceptance Testing (UAT) process in place with documented test cases, business sign-off, and security clearance before go-live?</t>
  </si>
  <si>
    <t xml:space="preserve">RBI MD IT §13.5 (2023)</t>
  </si>
  <si>
    <t xml:space="preserve">UAT reports, business sign-off, security clearance evidence</t>
  </si>
  <si>
    <t xml:space="preserve">CHG-014</t>
  </si>
  <si>
    <t xml:space="preserve">Environment Segregation</t>
  </si>
  <si>
    <t xml:space="preserve">Are development, testing, UAT, and production environments strictly segregated with no direct access from dev to production?</t>
  </si>
  <si>
    <t xml:space="preserve">RBI MD IT §13.6 (2023)</t>
  </si>
  <si>
    <t xml:space="preserve">Environment access controls, segregation evidence, access matrix</t>
  </si>
  <si>
    <t xml:space="preserve">CHG-015</t>
  </si>
  <si>
    <t xml:space="preserve">Is production data prohibited from use in non-production environments; masked/synthetic data used for testing?</t>
  </si>
  <si>
    <t xml:space="preserve">RBI MD IT §13.7 (2023)</t>
  </si>
  <si>
    <t xml:space="preserve">Data masking evidence for non-prod, test data policy</t>
  </si>
  <si>
    <t xml:space="preserve">RBI IT Examination — Data Management</t>
  </si>
  <si>
    <t xml:space="preserve">DAT-001</t>
  </si>
  <si>
    <t xml:space="preserve">Data Governance</t>
  </si>
  <si>
    <t xml:space="preserve">Is a Data Governance Framework (DGF) in place with a Data Governance Committee (DGC), data owners, and stewards identified for all critical data domains?</t>
  </si>
  <si>
    <t xml:space="preserve">RBI DGF Circular</t>
  </si>
  <si>
    <t xml:space="preserve">DGF document, DGC constitution, data owner assignments</t>
  </si>
  <si>
    <t xml:space="preserve">DAT-002</t>
  </si>
  <si>
    <t xml:space="preserve">Is a Business Glossary / Data Dictionary maintained for all critical data elements with definitions, owners, and quality rules?</t>
  </si>
  <si>
    <t xml:space="preserve">RBI DGF §3.2</t>
  </si>
  <si>
    <t xml:space="preserve">Business glossary, data dictionary entries</t>
  </si>
  <si>
    <t xml:space="preserve">DAT-003</t>
  </si>
  <si>
    <t xml:space="preserve">Data Classification</t>
  </si>
  <si>
    <t xml:space="preserve">Is a data classification policy in place (public, internal, confidential, sensitive/restricted) with defined handling, storage, and transmission requirements?</t>
  </si>
  <si>
    <t xml:space="preserve">RBI DGF §4.1</t>
  </si>
  <si>
    <t xml:space="preserve">Data classification policy, classification matrix</t>
  </si>
  <si>
    <t xml:space="preserve">DAT-004</t>
  </si>
  <si>
    <t xml:space="preserve">Is all customer data (PAN, Aadhaar, account number, mobile, KYC) identified, tagged, and classified as 'Sensitive' with appropriate controls?</t>
  </si>
  <si>
    <t xml:space="preserve">RBI DGF §4.2</t>
  </si>
  <si>
    <t xml:space="preserve">Data classification inventory, sensitive data register</t>
  </si>
  <si>
    <t xml:space="preserve">DAT-005</t>
  </si>
  <si>
    <t xml:space="preserve">Data Masking</t>
  </si>
  <si>
    <t xml:space="preserve">Is sensitive customer data (PAN, Aadhaar, account details, mobile numbers) masked/tokenised in all non-production environments?</t>
  </si>
  <si>
    <t xml:space="preserve">RBI DGF §4.3</t>
  </si>
  <si>
    <t xml:space="preserve">Data masking evidence in non-prod, masking tool configuration</t>
  </si>
  <si>
    <t xml:space="preserve">DAT-006</t>
  </si>
  <si>
    <t xml:space="preserve">Data Quality</t>
  </si>
  <si>
    <t xml:space="preserve">Is a Data Quality framework with defined DQ metrics (completeness, accuracy, consistency, timeliness), exception reporting, and remediation tracking implemented?</t>
  </si>
  <si>
    <t xml:space="preserve">RBI DGF §4.4</t>
  </si>
  <si>
    <t xml:space="preserve">DQ metrics dashboard, exception reports, remediation evidence</t>
  </si>
  <si>
    <t xml:space="preserve">DAT-007</t>
  </si>
  <si>
    <t xml:space="preserve">Data Localisation</t>
  </si>
  <si>
    <t xml:space="preserve">Is all payment system data (transaction, settlement, customer PII for payments) stored exclusively within India per RBI April 2018 circular?</t>
  </si>
  <si>
    <t xml:space="preserve">RBI Payment Data Apr 2018</t>
  </si>
  <si>
    <t xml:space="preserve">Data flow diagrams, storage location audit, CSP certificates</t>
  </si>
  <si>
    <t xml:space="preserve">DAT-008</t>
  </si>
  <si>
    <t xml:space="preserve">Are all third-party payment data processors/fintech partners compliant with data localisation requirements with contractual and technical evidence?</t>
  </si>
  <si>
    <t xml:space="preserve">Partner compliance certificates, data audit reports</t>
  </si>
  <si>
    <t xml:space="preserve">DAT-009</t>
  </si>
  <si>
    <t xml:space="preserve">Data Retention</t>
  </si>
  <si>
    <t xml:space="preserve">Is a data retention and deletion policy in place aligned with regulatory timelines (financial records: min. 8 years per RBI) and automated enforcement?</t>
  </si>
  <si>
    <t xml:space="preserve">RBI MD IT §14.1 (2023)</t>
  </si>
  <si>
    <t xml:space="preserve">Data retention policy, automated deletion evidence, archival logs</t>
  </si>
  <si>
    <t xml:space="preserve">DAT-010</t>
  </si>
  <si>
    <t xml:space="preserve">Is disposal of physical and electronic media (HDDs, tapes) conducted through certified data destruction with certificates maintained?</t>
  </si>
  <si>
    <t xml:space="preserve">Media destruction certificates, vendor empanelment</t>
  </si>
  <si>
    <t xml:space="preserve">DAT-011</t>
  </si>
  <si>
    <t xml:space="preserve">DPDP Act Compliance</t>
  </si>
  <si>
    <t xml:space="preserve">Is a DPDP Act 2023 compliance programme in place with a designated Data Protection Officer (DPO), consent management, and data principal rights handling?</t>
  </si>
  <si>
    <t xml:space="preserve">DPDP Act 2023 §8, §10</t>
  </si>
  <si>
    <t xml:space="preserve">DPO appointment, consent mechanism evidence, rights handling process</t>
  </si>
  <si>
    <t xml:space="preserve">DAT-012</t>
  </si>
  <si>
    <t xml:space="preserve">Is a Privacy Impact Assessment (PIA) conducted for new systems/processes collecting personal data before go-live?</t>
  </si>
  <si>
    <t xml:space="preserve">DPDP Act 2023 §4</t>
  </si>
  <si>
    <t xml:space="preserve">Per project</t>
  </si>
  <si>
    <t xml:space="preserve">PIA reports for recent projects</t>
  </si>
  <si>
    <t xml:space="preserve">DAT-013</t>
  </si>
  <si>
    <t xml:space="preserve">Database Security</t>
  </si>
  <si>
    <t xml:space="preserve">Is database activity monitoring (DAM) implemented for critical databases (CBS, customer data) with real-time alerting for suspicious queries?</t>
  </si>
  <si>
    <t xml:space="preserve">DAM tool coverage, alert evidence, SOC integration</t>
  </si>
  <si>
    <t xml:space="preserve">DAT-014</t>
  </si>
  <si>
    <t xml:space="preserve">Is database access restricted to application service accounts only; direct DBA access via PAM with session recording and dual approval?</t>
  </si>
  <si>
    <t xml:space="preserve">DBA access controls, PAM session evidence</t>
  </si>
  <si>
    <t xml:space="preserve">DAT-015</t>
  </si>
  <si>
    <t xml:space="preserve">Are all regulatory IT-related returns submitted on time (RBI CSITE, UIDAI reports, SFMS, NACH) with data quality pre-submission checks?</t>
  </si>
  <si>
    <t xml:space="preserve">RBI Returns Circular</t>
  </si>
  <si>
    <t xml:space="preserve">Per schedule</t>
  </si>
  <si>
    <t xml:space="preserve">Submission acknowledgements, timeliness tracker, DQ check evidence</t>
  </si>
  <si>
    <t xml:space="preserve">DAT-016</t>
  </si>
  <si>
    <t xml:space="preserve">Analytics &amp; AI</t>
  </si>
  <si>
    <t xml:space="preserve">For AI/ML models used in credit decisions or fraud detection, is there a model risk management framework covering validation, monitoring, and explainability?</t>
  </si>
  <si>
    <t xml:space="preserve">RBI Model Risk Circular</t>
  </si>
  <si>
    <t xml:space="preserve">Model risk policy, model validation reports, monitoring dashboards</t>
  </si>
  <si>
    <t xml:space="preserve">RBI IT Examination — Digital Banking &amp; Payments</t>
  </si>
  <si>
    <t xml:space="preserve">DIG-001</t>
  </si>
  <si>
    <t xml:space="preserve">Internet Banking Security</t>
  </si>
  <si>
    <t xml:space="preserve">Is internet banking platform secured with HTTPS, TLS 1.2+, valid EV SSL certificate, and HSTS headers?</t>
  </si>
  <si>
    <t xml:space="preserve">RBI Internet Banking Guideline</t>
  </si>
  <si>
    <t xml:space="preserve">SSL certificate report, TLS configuration scan, header analysis</t>
  </si>
  <si>
    <t xml:space="preserve">DIG-002</t>
  </si>
  <si>
    <t xml:space="preserve">Is re-authentication enforced for high-value transactions in internet banking (transaction password, OTP, biometric)?</t>
  </si>
  <si>
    <t xml:space="preserve">RBI Internet Banking Guideline §4</t>
  </si>
  <si>
    <t xml:space="preserve">Transaction authentication configuration, test evidence</t>
  </si>
  <si>
    <t xml:space="preserve">DIG-003</t>
  </si>
  <si>
    <t xml:space="preserve">Is session management secure — session timeout (max. 5 minutes idle), single active session, secure cookie attributes (HTTPOnly, Secure, SameSite)?</t>
  </si>
  <si>
    <t xml:space="preserve">RBI Internet Banking Guideline §5</t>
  </si>
  <si>
    <t xml:space="preserve">Session management configuration review, test evidence</t>
  </si>
  <si>
    <t xml:space="preserve">DIG-004</t>
  </si>
  <si>
    <t xml:space="preserve">Mobile Banking Security</t>
  </si>
  <si>
    <t xml:space="preserve">Is mobile banking app security tested (OWASP Mobile Top 10) at least annually by an external auditor with findings remediated?</t>
  </si>
  <si>
    <t xml:space="preserve">RBI Mobile Banking Circular</t>
  </si>
  <si>
    <t xml:space="preserve">Mobile app pentest reports, OWASP coverage, remediation evidence</t>
  </si>
  <si>
    <t xml:space="preserve">DIG-005</t>
  </si>
  <si>
    <t xml:space="preserve">Is certificate pinning implemented in mobile banking app to prevent MITM attacks?</t>
  </si>
  <si>
    <t xml:space="preserve">RBI Mobile Banking Circular §3</t>
  </si>
  <si>
    <t xml:space="preserve">Certificate pinning implementation evidence, pentest confirmation</t>
  </si>
  <si>
    <t xml:space="preserve">DIG-006</t>
  </si>
  <si>
    <t xml:space="preserve">Is mobile banking app available on official stores only; fake app monitoring service subscribed with takedown capability?</t>
  </si>
  <si>
    <t xml:space="preserve">RBI Mobile Banking Circular §4</t>
  </si>
  <si>
    <t xml:space="preserve">Fake app monitoring subscription, takedown records</t>
  </si>
  <si>
    <t xml:space="preserve">DIG-007</t>
  </si>
  <si>
    <t xml:space="preserve">UPI &amp; Payment Security</t>
  </si>
  <si>
    <t xml:space="preserve">Is UPI/IMPS/NEFT/RTGS transaction limit set per RBI guidelines with customer-configurable limits and velocity checks?</t>
  </si>
  <si>
    <t xml:space="preserve">RBI Payment Guidelines</t>
  </si>
  <si>
    <t xml:space="preserve">Transaction limit configuration, velocity rule evidence</t>
  </si>
  <si>
    <t xml:space="preserve">DIG-008</t>
  </si>
  <si>
    <t xml:space="preserve">Are real-time fraud monitoring rules implemented for payment transactions with automatic blocking and SMS/email alert to customer for suspicious transactions?</t>
  </si>
  <si>
    <t xml:space="preserve">RBI Fraud Monitoring Circular</t>
  </si>
  <si>
    <t xml:space="preserve">Fraud rule documentation, alert sample, blocking evidence</t>
  </si>
  <si>
    <t xml:space="preserve">DIG-009</t>
  </si>
  <si>
    <t xml:space="preserve">Is NPCI's fraud risk management framework implemented with dispute handling SLA met and reporting to NPCI on time?</t>
  </si>
  <si>
    <t xml:space="preserve">NPCI FRM Circular</t>
  </si>
  <si>
    <t xml:space="preserve">NPCI dispute reports, SLA compliance, reporting evidence</t>
  </si>
  <si>
    <t xml:space="preserve">DIG-010</t>
  </si>
  <si>
    <t xml:space="preserve">ATM Security</t>
  </si>
  <si>
    <t xml:space="preserve">Are ATMs protected with physical skimmer/shimmer detection and logical security (hard disk encryption, whitelisting, anti-skimming software)?</t>
  </si>
  <si>
    <t xml:space="preserve">RBI ATM Security Circular</t>
  </si>
  <si>
    <t xml:space="preserve">ATM security assessment reports, anti-skimming deployment evidence</t>
  </si>
  <si>
    <t xml:space="preserve">DIG-011</t>
  </si>
  <si>
    <t xml:space="preserve">Is ATM network (NCN) segregated from bank's corporate network with dedicated VLAN and monitoring?</t>
  </si>
  <si>
    <t xml:space="preserve">RBI ATM Security Circular §3</t>
  </si>
  <si>
    <t xml:space="preserve">Network segregation evidence, ATM VLAN configuration</t>
  </si>
  <si>
    <t xml:space="preserve">DIG-012</t>
  </si>
  <si>
    <t xml:space="preserve">Customer Protection</t>
  </si>
  <si>
    <t xml:space="preserve">Is a mechanism in place for customers to report fraud/unauthorized transactions 24x7 with zero liability protection as per RBI Customer Protection Circular?</t>
  </si>
  <si>
    <t xml:space="preserve">RBI Cust Protection Circular 2017</t>
  </si>
  <si>
    <t xml:space="preserve">Fraud reporting mechanism, zero liability policy, process evidence</t>
  </si>
  <si>
    <t xml:space="preserve">DIG-013</t>
  </si>
  <si>
    <t xml:space="preserve">Is the RBI's Positive Pay System (PPS) implemented for high-value cheque transactions as per mandate?</t>
  </si>
  <si>
    <t xml:space="preserve">RBI Positive Pay Circular 2020</t>
  </si>
  <si>
    <t xml:space="preserve">Positive Pay system implementation evidence</t>
  </si>
  <si>
    <t xml:space="preserve">DIG-014</t>
  </si>
  <si>
    <t xml:space="preserve">Open Banking &amp; API</t>
  </si>
  <si>
    <t xml:space="preserve">Are all external-facing APIs secured with OAuth 2.0, API gateway with rate limiting, input validation, and registered with India Stack/ONDC/AA as applicable?</t>
  </si>
  <si>
    <t xml:space="preserve">RBI API Banking Circular</t>
  </si>
  <si>
    <t xml:space="preserve">API security assessment, OAuth implementation, gateway evidence</t>
  </si>
  <si>
    <t xml:space="preserve">DIG-015</t>
  </si>
  <si>
    <t xml:space="preserve">Fintech &amp; Third-Party</t>
  </si>
  <si>
    <t xml:space="preserve">Are all third-party apps integrated via APIs subjected to security assessment and contractual data security obligations before go-live?</t>
  </si>
  <si>
    <t xml:space="preserve">RBI Fintech Circular</t>
  </si>
  <si>
    <t xml:space="preserve">Per integration</t>
  </si>
  <si>
    <t xml:space="preserve">Third-party security assessment, contract clauses</t>
  </si>
  <si>
    <t xml:space="preserve">RBI IT Examination — HR &amp; Physical Security</t>
  </si>
  <si>
    <t xml:space="preserve">HRS-001</t>
  </si>
  <si>
    <t xml:space="preserve">Background Verification</t>
  </si>
  <si>
    <t xml:space="preserve">Is background verification (BGV) conducted for all new employees including IT/security staff covering criminal, education, employment, and financial checks?</t>
  </si>
  <si>
    <t xml:space="preserve">RBI MD IT §15.1 (2023)</t>
  </si>
  <si>
    <t xml:space="preserve">Per hire</t>
  </si>
  <si>
    <t xml:space="preserve">BGV reports for recent joiners, vendor agreement</t>
  </si>
  <si>
    <t xml:space="preserve">HRS-002</t>
  </si>
  <si>
    <t xml:space="preserve">Is periodic re-verification conducted for employees in sensitive roles (IT admin, security, treasury, CBS admin) every 3 years?</t>
  </si>
  <si>
    <t xml:space="preserve">RBI MD IT §15.2 (2023)</t>
  </si>
  <si>
    <t xml:space="preserve">Re-verification policy, recent re-verification records</t>
  </si>
  <si>
    <t xml:space="preserve">HRS-003</t>
  </si>
  <si>
    <t xml:space="preserve">Separation Process</t>
  </si>
  <si>
    <t xml:space="preserve">Is a formal IT access revocation process in place ensuring all access (physical and logical) is revoked within 24 hours of employee exit?</t>
  </si>
  <si>
    <t xml:space="preserve">RBI MD IT §15.3 (2023)</t>
  </si>
  <si>
    <t xml:space="preserve">Exit clearance records, access revocation TAT reports</t>
  </si>
  <si>
    <t xml:space="preserve">HRS-004</t>
  </si>
  <si>
    <t xml:space="preserve">Is an exit interview/debriefing conducted for IT/security staff covering NDA, IP return, and data handling obligations?</t>
  </si>
  <si>
    <t xml:space="preserve">RBI MD IT §15.4 (2023)</t>
  </si>
  <si>
    <t xml:space="preserve">Per exit</t>
  </si>
  <si>
    <t xml:space="preserve">Exit interview records for IT/security staff</t>
  </si>
  <si>
    <t xml:space="preserve">HRS-005</t>
  </si>
  <si>
    <t xml:space="preserve">Insider Threat</t>
  </si>
  <si>
    <t xml:space="preserve">Is a User and Entity Behaviour Analytics (UEBA) solution deployed or integrated with SIEM to detect insider threat indicators (bulk downloads, off-hours access)?</t>
  </si>
  <si>
    <t xml:space="preserve">UEBA deployment/SIEM UEBA rule evidence, sample alerts</t>
  </si>
  <si>
    <t xml:space="preserve">HRS-006</t>
  </si>
  <si>
    <t xml:space="preserve">Physical Security</t>
  </si>
  <si>
    <t xml:space="preserve">Is physical access to critical areas (DC, operations, treasury) controlled by biometric + card with access log review monthly?</t>
  </si>
  <si>
    <t xml:space="preserve">RBI MD IT §16.1 (2023)</t>
  </si>
  <si>
    <t xml:space="preserve">Physical access logs, review evidence</t>
  </si>
  <si>
    <t xml:space="preserve">HRS-007</t>
  </si>
  <si>
    <t xml:space="preserve">Is a clean desk and clear screen policy enforced with periodic compliance checks (unannounced walkthroughs)?</t>
  </si>
  <si>
    <t xml:space="preserve">RBI MD IT §16.2 (2023)</t>
  </si>
  <si>
    <t xml:space="preserve">Clean desk policy, walkthrough evidence/reports</t>
  </si>
  <si>
    <t xml:space="preserve">HRS-008</t>
  </si>
  <si>
    <t xml:space="preserve">Third-Party Personnel</t>
  </si>
  <si>
    <t xml:space="preserve">Are contractor/vendor personnel given time-limited, minimal access with NDA signed before access and access revoked immediately on engagement end?</t>
  </si>
  <si>
    <t xml:space="preserve">RBI MD IT §16.3 (2023)</t>
  </si>
  <si>
    <t xml:space="preserve">Contractor access policy, NDA records, timely revocation evidence</t>
  </si>
  <si>
    <t xml:space="preserve">HRS-009</t>
  </si>
  <si>
    <t xml:space="preserve">Security Culture</t>
  </si>
  <si>
    <t xml:space="preserve">Is a security culture survey conducted annually to measure employee awareness and satisfaction with security controls?</t>
  </si>
  <si>
    <t xml:space="preserve">RBI MD IT §16.4 (2023)</t>
  </si>
  <si>
    <t xml:space="preserve">Low</t>
  </si>
  <si>
    <t xml:space="preserve">Security culture survey results, action plan</t>
  </si>
  <si>
    <t xml:space="preserve">HRS-010</t>
  </si>
  <si>
    <t xml:space="preserve">Key Person Risk</t>
  </si>
  <si>
    <t xml:space="preserve">Is succession planning in place for critical IT/security roles (CIO, CISO, CBS admin) to manage key person dependency risk?</t>
  </si>
  <si>
    <t xml:space="preserve">RBI MD IT §16.5 (2023)</t>
  </si>
  <si>
    <t xml:space="preserve">Succession plan document, cross-training evidence</t>
  </si>
  <si>
    <t xml:space="preserve">RBI IT Examination — Fraud Risk &amp; Resilience</t>
  </si>
  <si>
    <t xml:space="preserve">FRD-001</t>
  </si>
  <si>
    <t xml:space="preserve">Fraud Monitoring</t>
  </si>
  <si>
    <t xml:space="preserve">Is a real-time fraud monitoring system (FMS/FRM) deployed covering all digital channels (internet banking, mobile, UPI, ATM, POS) with 24x7 alerting?</t>
  </si>
  <si>
    <t xml:space="preserve">FMS deployment evidence, channel coverage, alert samples</t>
  </si>
  <si>
    <t xml:space="preserve">FRD-002</t>
  </si>
  <si>
    <t xml:space="preserve">Are fraud monitoring rules reviewed and updated at least quarterly based on emerging fraud patterns, threat intelligence, and NPCI/RBI advisories?</t>
  </si>
  <si>
    <t xml:space="preserve">RBI Fraud Monitoring §3</t>
  </si>
  <si>
    <t xml:space="preserve">Fraud rule review records, update evidence, approvals</t>
  </si>
  <si>
    <t xml:space="preserve">FRD-003</t>
  </si>
  <si>
    <t xml:space="preserve">Fraud Reporting</t>
  </si>
  <si>
    <t xml:space="preserve">Are all fraud incidents reported to RBI (FMR returns) within the prescribed timelines with accurate classification (cyber fraud, social engineering, internal)?</t>
  </si>
  <si>
    <t xml:space="preserve">RBI Fraud Reporting Circular</t>
  </si>
  <si>
    <t xml:space="preserve">FMR return submissions, timeliness records</t>
  </si>
  <si>
    <t xml:space="preserve">FRD-004</t>
  </si>
  <si>
    <t xml:space="preserve">Is a fraud incident register maintained with root cause analysis, customer impact, recovery actions, and control improvements tracked?</t>
  </si>
  <si>
    <t xml:space="preserve">RBI Fraud Monitoring §4</t>
  </si>
  <si>
    <t xml:space="preserve">Fraud register, RCA reports, control improvement evidence</t>
  </si>
  <si>
    <t xml:space="preserve">FRD-005</t>
  </si>
  <si>
    <t xml:space="preserve">Social Engineering</t>
  </si>
  <si>
    <t xml:space="preserve">Is a social engineering defence programme in place covering CEO fraud/BEC, vishing, and smishing with controls and customer education?</t>
  </si>
  <si>
    <t xml:space="preserve">Programme documentation, customer advisory samples, staff training</t>
  </si>
  <si>
    <t xml:space="preserve">FRD-006</t>
  </si>
  <si>
    <t xml:space="preserve">Ransomware Resilience</t>
  </si>
  <si>
    <t xml:space="preserve">Is a ransomware resilience plan in place covering immutable backups, network isolation procedures, CSIRP activation, and tested recovery?</t>
  </si>
  <si>
    <t xml:space="preserve">Ransomware response plan, immutable backup evidence, drill results</t>
  </si>
  <si>
    <t xml:space="preserve">FRD-007</t>
  </si>
  <si>
    <t xml:space="preserve">Supply Chain Security</t>
  </si>
  <si>
    <t xml:space="preserve">Is software supply chain security addressed — vendor code signing, integrity verification, SBOM (software bill of materials) for critical applications?</t>
  </si>
  <si>
    <t xml:space="preserve">Code signing evidence, SBOM documentation</t>
  </si>
  <si>
    <t xml:space="preserve">FRD-008</t>
  </si>
  <si>
    <t xml:space="preserve">Zero-Day Response</t>
  </si>
  <si>
    <t xml:space="preserve">Is there a process to respond to zero-day vulnerabilities — CERT-In/vendor advisory monitoring, emergency patching protocol, and compensating controls?</t>
  </si>
  <si>
    <t xml:space="preserve">Per event</t>
  </si>
  <si>
    <t xml:space="preserve">Zero-day response process, recent advisory response evidence</t>
  </si>
  <si>
    <t xml:space="preserve">FRD-009</t>
  </si>
  <si>
    <t xml:space="preserve">Cyber Insurance</t>
  </si>
  <si>
    <t xml:space="preserve">Has the bank evaluated or obtained cyber insurance coverage commensurate with cyber risk exposure, covering incident response, ransomware, and liability?</t>
  </si>
  <si>
    <t xml:space="preserve">RBI MD IT §17.1 (2023)</t>
  </si>
  <si>
    <t xml:space="preserve">Cyber insurance policy or evaluation evidence</t>
  </si>
  <si>
    <t xml:space="preserve">FRD-010</t>
  </si>
  <si>
    <t xml:space="preserve">Technology Obsolescence</t>
  </si>
  <si>
    <t xml:space="preserve">Is a formal technology obsolescence risk management programme in place tracking and mitigating risks from legacy/unsupported technologies?</t>
  </si>
  <si>
    <t xml:space="preserve">RBI MD IT §17.2 (2023)</t>
  </si>
  <si>
    <t xml:space="preserve">Technology obsolescence register, mitigation plans, ITSC approval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</si>
</sst>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D6E4F7"/>
      <name val="Arial"/>
      <family val="0"/>
      <charset val="1"/>
    </font>
    <font>
      <sz val="9"/>
      <color rgb="FFD6E4F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2E509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2E5090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E26B0A"/>
      <name val="Arial"/>
      <family val="0"/>
      <charset val="1"/>
    </font>
    <font>
      <b val="true"/>
      <sz val="9"/>
      <color rgb="FF37562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5090"/>
      </patternFill>
    </fill>
    <fill>
      <patternFill patternType="solid">
        <fgColor rgb="FF2E5090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6E4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375623"/>
        <sz val="9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  <sz val="9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E26B0A"/>
        <sz val="9"/>
      </font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26B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9" min="8" style="0" width="10"/>
  </cols>
  <sheetData>
    <row r="1" customFormat="false" ht="7.5" hidden="false" customHeight="true" outlineLevel="0" collapsed="false"/>
    <row r="2" customFormat="false" ht="45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</row>
    <row r="3" customFormat="false" ht="24.75" hidden="false" customHeight="true" outlineLevel="0" collapsed="false">
      <c r="A3" s="3"/>
      <c r="B3" s="4" t="s">
        <v>1</v>
      </c>
      <c r="C3" s="3"/>
      <c r="D3" s="3"/>
      <c r="E3" s="3"/>
      <c r="F3" s="3"/>
      <c r="G3" s="3"/>
      <c r="H3" s="3"/>
      <c r="I3" s="3"/>
    </row>
    <row r="4" customFormat="false" ht="19.5" hidden="false" customHeight="true" outlineLevel="0" collapsed="false">
      <c r="A4" s="3"/>
      <c r="B4" s="5" t="s">
        <v>2</v>
      </c>
      <c r="C4" s="3"/>
      <c r="D4" s="3"/>
      <c r="E4" s="3"/>
      <c r="F4" s="3"/>
      <c r="G4" s="3"/>
      <c r="H4" s="3"/>
      <c r="I4" s="3"/>
    </row>
    <row r="5" customFormat="false" ht="12" hidden="false" customHeight="true" outlineLevel="0" collapsed="false"/>
    <row r="7" customFormat="false" ht="18" hidden="false" customHeight="true" outlineLevel="0" collapsed="false"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</row>
    <row r="8" customFormat="false" ht="18" hidden="false" customHeight="true" outlineLevel="0" collapsed="false">
      <c r="B8" s="7" t="s">
        <v>11</v>
      </c>
      <c r="C8" s="8" t="s">
        <v>11</v>
      </c>
      <c r="D8" s="9" t="n">
        <v>22</v>
      </c>
      <c r="E8" s="10" t="n">
        <f aca="false">COUNTIF('IT Governance'!J3:J24,"Compliant")</f>
        <v>0</v>
      </c>
      <c r="F8" s="10" t="n">
        <f aca="false">COUNTIF('IT Governance'!J3:J24,"Partial")</f>
        <v>0</v>
      </c>
      <c r="G8" s="10" t="n">
        <f aca="false">COUNTIF('IT Governance'!J3:J24,"Non-Compliant")</f>
        <v>0</v>
      </c>
      <c r="H8" s="10" t="n">
        <f aca="false">COUNTIF('IT Governance'!J3:J24,"N/A")</f>
        <v>0</v>
      </c>
      <c r="I8" s="11" t="n">
        <f aca="false">IFERROR(E8/(D8-H8),0)</f>
        <v>0</v>
      </c>
    </row>
    <row r="9" customFormat="false" ht="18" hidden="false" customHeight="true" outlineLevel="0" collapsed="false">
      <c r="B9" s="12" t="s">
        <v>12</v>
      </c>
      <c r="C9" s="13" t="s">
        <v>12</v>
      </c>
      <c r="D9" s="14" t="n">
        <v>23</v>
      </c>
      <c r="E9" s="15" t="n">
        <f aca="false">COUNTIF('IT Infrastructure'!J3:J25,"Compliant")</f>
        <v>0</v>
      </c>
      <c r="F9" s="15" t="n">
        <f aca="false">COUNTIF('IT Infrastructure'!J3:J25,"Partial")</f>
        <v>0</v>
      </c>
      <c r="G9" s="15" t="n">
        <f aca="false">COUNTIF('IT Infrastructure'!J3:J25,"Non-Compliant")</f>
        <v>0</v>
      </c>
      <c r="H9" s="15" t="n">
        <f aca="false">COUNTIF('IT Infrastructure'!J3:J25,"N/A")</f>
        <v>0</v>
      </c>
      <c r="I9" s="16" t="n">
        <f aca="false">IFERROR(E9/(D9-H9),0)</f>
        <v>0</v>
      </c>
    </row>
    <row r="10" customFormat="false" ht="18" hidden="false" customHeight="true" outlineLevel="0" collapsed="false">
      <c r="B10" s="7" t="s">
        <v>13</v>
      </c>
      <c r="C10" s="8" t="s">
        <v>13</v>
      </c>
      <c r="D10" s="9" t="n">
        <v>31</v>
      </c>
      <c r="E10" s="10" t="n">
        <f aca="false">COUNTIF(Cybersecurity!J3:J33,"Compliant")</f>
        <v>0</v>
      </c>
      <c r="F10" s="10" t="n">
        <f aca="false">COUNTIF(Cybersecurity!J3:J33,"Partial")</f>
        <v>0</v>
      </c>
      <c r="G10" s="10" t="n">
        <f aca="false">COUNTIF(Cybersecurity!J3:J33,"Non-Compliant")</f>
        <v>0</v>
      </c>
      <c r="H10" s="10" t="n">
        <f aca="false">COUNTIF(Cybersecurity!J3:J33,"N/A")</f>
        <v>0</v>
      </c>
      <c r="I10" s="11" t="n">
        <f aca="false">IFERROR(E10/(D10-H10),0)</f>
        <v>0</v>
      </c>
    </row>
    <row r="11" customFormat="false" ht="18" hidden="false" customHeight="true" outlineLevel="0" collapsed="false">
      <c r="B11" s="12" t="s">
        <v>14</v>
      </c>
      <c r="C11" s="13" t="s">
        <v>15</v>
      </c>
      <c r="D11" s="14" t="n">
        <v>18</v>
      </c>
      <c r="E11" s="15" t="n">
        <f aca="false">COUNTIF('BCP&amp;DR'!J3:J20,"Compliant")</f>
        <v>0</v>
      </c>
      <c r="F11" s="15" t="n">
        <f aca="false">COUNTIF('BCP&amp;DR'!J3:J20,"Partial")</f>
        <v>0</v>
      </c>
      <c r="G11" s="15" t="n">
        <f aca="false">COUNTIF('BCP&amp;DR'!J3:J20,"Non-Compliant")</f>
        <v>0</v>
      </c>
      <c r="H11" s="15" t="n">
        <f aca="false">COUNTIF('BCP&amp;DR'!J3:J20,"N/A")</f>
        <v>0</v>
      </c>
      <c r="I11" s="16" t="n">
        <f aca="false">IFERROR(E11/(D11-H11),0)</f>
        <v>0</v>
      </c>
    </row>
    <row r="12" customFormat="false" ht="18" hidden="false" customHeight="true" outlineLevel="0" collapsed="false">
      <c r="B12" s="7" t="s">
        <v>16</v>
      </c>
      <c r="C12" s="8" t="s">
        <v>16</v>
      </c>
      <c r="D12" s="9" t="n">
        <v>16</v>
      </c>
      <c r="E12" s="10" t="n">
        <f aca="false">COUNTIF('IS Audit'!J3:J18,"Compliant")</f>
        <v>0</v>
      </c>
      <c r="F12" s="10" t="n">
        <f aca="false">COUNTIF('IS Audit'!J3:J18,"Partial")</f>
        <v>0</v>
      </c>
      <c r="G12" s="10" t="n">
        <f aca="false">COUNTIF('IS Audit'!J3:J18,"Non-Compliant")</f>
        <v>0</v>
      </c>
      <c r="H12" s="10" t="n">
        <f aca="false">COUNTIF('IS Audit'!J3:J18,"N/A")</f>
        <v>0</v>
      </c>
      <c r="I12" s="11" t="n">
        <f aca="false">IFERROR(E12/(D12-H12),0)</f>
        <v>0</v>
      </c>
    </row>
    <row r="13" customFormat="false" ht="18" hidden="false" customHeight="true" outlineLevel="0" collapsed="false">
      <c r="B13" s="12" t="s">
        <v>17</v>
      </c>
      <c r="C13" s="13" t="s">
        <v>17</v>
      </c>
      <c r="D13" s="14" t="n">
        <v>17</v>
      </c>
      <c r="E13" s="15" t="n">
        <f aca="false">COUNTIF('IT Outsourcing'!J3:J19,"Compliant")</f>
        <v>0</v>
      </c>
      <c r="F13" s="15" t="n">
        <f aca="false">COUNTIF('IT Outsourcing'!J3:J19,"Partial")</f>
        <v>0</v>
      </c>
      <c r="G13" s="15" t="n">
        <f aca="false">COUNTIF('IT Outsourcing'!J3:J19,"Non-Compliant")</f>
        <v>0</v>
      </c>
      <c r="H13" s="15" t="n">
        <f aca="false">COUNTIF('IT Outsourcing'!J3:J19,"N/A")</f>
        <v>0</v>
      </c>
      <c r="I13" s="16" t="n">
        <f aca="false">IFERROR(E13/(D13-H13),0)</f>
        <v>0</v>
      </c>
    </row>
    <row r="14" customFormat="false" ht="18" hidden="false" customHeight="true" outlineLevel="0" collapsed="false">
      <c r="B14" s="7" t="s">
        <v>18</v>
      </c>
      <c r="C14" s="8" t="s">
        <v>19</v>
      </c>
      <c r="D14" s="9" t="n">
        <v>15</v>
      </c>
      <c r="E14" s="10" t="n">
        <f aca="false">COUNTIF('Change&amp;SDLC'!J3:J17,"Compliant")</f>
        <v>0</v>
      </c>
      <c r="F14" s="10" t="n">
        <f aca="false">COUNTIF('Change&amp;SDLC'!J3:J17,"Partial")</f>
        <v>0</v>
      </c>
      <c r="G14" s="10" t="n">
        <f aca="false">COUNTIF('Change&amp;SDLC'!J3:J17,"Non-Compliant")</f>
        <v>0</v>
      </c>
      <c r="H14" s="10" t="n">
        <f aca="false">COUNTIF('Change&amp;SDLC'!J3:J17,"N/A")</f>
        <v>0</v>
      </c>
      <c r="I14" s="11" t="n">
        <f aca="false">IFERROR(E14/(D14-H14),0)</f>
        <v>0</v>
      </c>
    </row>
    <row r="15" customFormat="false" ht="18" hidden="false" customHeight="true" outlineLevel="0" collapsed="false">
      <c r="B15" s="12" t="s">
        <v>20</v>
      </c>
      <c r="C15" s="13" t="s">
        <v>20</v>
      </c>
      <c r="D15" s="14" t="n">
        <v>16</v>
      </c>
      <c r="E15" s="15" t="n">
        <f aca="false">COUNTIF('Data Management'!J3:J18,"Compliant")</f>
        <v>0</v>
      </c>
      <c r="F15" s="15" t="n">
        <f aca="false">COUNTIF('Data Management'!J3:J18,"Partial")</f>
        <v>0</v>
      </c>
      <c r="G15" s="15" t="n">
        <f aca="false">COUNTIF('Data Management'!J3:J18,"Non-Compliant")</f>
        <v>0</v>
      </c>
      <c r="H15" s="15" t="n">
        <f aca="false">COUNTIF('Data Management'!J3:J18,"N/A")</f>
        <v>0</v>
      </c>
      <c r="I15" s="16" t="n">
        <f aca="false">IFERROR(E15/(D15-H15),0)</f>
        <v>0</v>
      </c>
    </row>
    <row r="16" customFormat="false" ht="18" hidden="false" customHeight="true" outlineLevel="0" collapsed="false">
      <c r="B16" s="7" t="s">
        <v>21</v>
      </c>
      <c r="C16" s="8" t="s">
        <v>22</v>
      </c>
      <c r="D16" s="9" t="n">
        <v>15</v>
      </c>
      <c r="E16" s="10" t="n">
        <f aca="false">COUNTIF('Digital Banking&amp;Payments'!J3:J17,"Compliant")</f>
        <v>0</v>
      </c>
      <c r="F16" s="10" t="n">
        <f aca="false">COUNTIF('Digital Banking&amp;Payments'!J3:J17,"Partial")</f>
        <v>0</v>
      </c>
      <c r="G16" s="10" t="n">
        <f aca="false">COUNTIF('Digital Banking&amp;Payments'!J3:J17,"Non-Compliant")</f>
        <v>0</v>
      </c>
      <c r="H16" s="10" t="n">
        <f aca="false">COUNTIF('Digital Banking&amp;Payments'!J3:J17,"N/A")</f>
        <v>0</v>
      </c>
      <c r="I16" s="11" t="n">
        <f aca="false">IFERROR(E16/(D16-H16),0)</f>
        <v>0</v>
      </c>
    </row>
    <row r="17" customFormat="false" ht="18" hidden="false" customHeight="true" outlineLevel="0" collapsed="false">
      <c r="B17" s="12" t="s">
        <v>23</v>
      </c>
      <c r="C17" s="13" t="s">
        <v>24</v>
      </c>
      <c r="D17" s="14" t="n">
        <v>10</v>
      </c>
      <c r="E17" s="15" t="n">
        <f aca="false">COUNTIF('HR&amp;Physical Security'!J3:J12,"Compliant")</f>
        <v>0</v>
      </c>
      <c r="F17" s="15" t="n">
        <f aca="false">COUNTIF('HR&amp;Physical Security'!J3:J12,"Partial")</f>
        <v>0</v>
      </c>
      <c r="G17" s="15" t="n">
        <f aca="false">COUNTIF('HR&amp;Physical Security'!J3:J12,"Non-Compliant")</f>
        <v>0</v>
      </c>
      <c r="H17" s="15" t="n">
        <f aca="false">COUNTIF('HR&amp;Physical Security'!J3:J12,"N/A")</f>
        <v>0</v>
      </c>
      <c r="I17" s="16" t="n">
        <f aca="false">IFERROR(E17/(D17-H17),0)</f>
        <v>0</v>
      </c>
    </row>
    <row r="18" customFormat="false" ht="18" hidden="false" customHeight="true" outlineLevel="0" collapsed="false">
      <c r="B18" s="7" t="s">
        <v>25</v>
      </c>
      <c r="C18" s="8" t="s">
        <v>26</v>
      </c>
      <c r="D18" s="9" t="n">
        <v>10</v>
      </c>
      <c r="E18" s="10" t="n">
        <f aca="false">COUNTIF('Fraud Risk&amp;Resilience'!J3:J12,"Compliant")</f>
        <v>0</v>
      </c>
      <c r="F18" s="10" t="n">
        <f aca="false">COUNTIF('Fraud Risk&amp;Resilience'!J3:J12,"Partial")</f>
        <v>0</v>
      </c>
      <c r="G18" s="10" t="n">
        <f aca="false">COUNTIF('Fraud Risk&amp;Resilience'!J3:J12,"Non-Compliant")</f>
        <v>0</v>
      </c>
      <c r="H18" s="10" t="n">
        <f aca="false">COUNTIF('Fraud Risk&amp;Resilience'!J3:J12,"N/A")</f>
        <v>0</v>
      </c>
      <c r="I18" s="11" t="n">
        <f aca="false">IFERROR(E18/(D18-H18),0)</f>
        <v>0</v>
      </c>
    </row>
    <row r="19" customFormat="false" ht="19.5" hidden="false" customHeight="true" outlineLevel="0" collapsed="false">
      <c r="B19" s="17" t="s">
        <v>27</v>
      </c>
      <c r="C19" s="17"/>
      <c r="D19" s="17" t="n">
        <f aca="false">SUM(D8:D18)</f>
        <v>193</v>
      </c>
      <c r="E19" s="17" t="n">
        <f aca="false">SUM(E8:E18)</f>
        <v>0</v>
      </c>
      <c r="F19" s="17" t="n">
        <f aca="false">SUM(F8:F18)</f>
        <v>0</v>
      </c>
      <c r="G19" s="17" t="n">
        <f aca="false">SUM(G8:G18)</f>
        <v>0</v>
      </c>
      <c r="H19" s="17" t="n">
        <f aca="false">SUM(H8:H18)</f>
        <v>0</v>
      </c>
      <c r="I19" s="18" t="n">
        <f aca="false">IFERROR(E19/(D19-H19),0)</f>
        <v>0</v>
      </c>
    </row>
    <row r="22" customFormat="false" ht="15" hidden="false" customHeight="true" outlineLevel="0" collapsed="false">
      <c r="B22" s="19" t="s">
        <v>28</v>
      </c>
      <c r="C22" s="19"/>
      <c r="D22" s="19"/>
      <c r="E22" s="19"/>
      <c r="F22" s="19"/>
      <c r="G22" s="19"/>
      <c r="H22" s="19"/>
      <c r="I22" s="19"/>
    </row>
    <row r="23" customFormat="false" ht="18" hidden="false" customHeight="true" outlineLevel="0" collapsed="false">
      <c r="B23" s="20" t="s">
        <v>29</v>
      </c>
      <c r="C23" s="21" t="s">
        <v>30</v>
      </c>
      <c r="D23" s="21"/>
      <c r="E23" s="21"/>
      <c r="F23" s="21"/>
      <c r="G23" s="21"/>
      <c r="H23" s="21"/>
      <c r="I23" s="21"/>
    </row>
    <row r="24" customFormat="false" ht="18" hidden="false" customHeight="true" outlineLevel="0" collapsed="false">
      <c r="B24" s="20" t="s">
        <v>31</v>
      </c>
      <c r="C24" s="21" t="s">
        <v>32</v>
      </c>
      <c r="D24" s="21"/>
      <c r="E24" s="21"/>
      <c r="F24" s="21"/>
      <c r="G24" s="21"/>
      <c r="H24" s="21"/>
      <c r="I24" s="21"/>
    </row>
    <row r="25" customFormat="false" ht="18" hidden="false" customHeight="true" outlineLevel="0" collapsed="false">
      <c r="B25" s="20" t="s">
        <v>33</v>
      </c>
      <c r="C25" s="21" t="s">
        <v>34</v>
      </c>
      <c r="D25" s="21"/>
      <c r="E25" s="21"/>
      <c r="F25" s="21"/>
      <c r="G25" s="21"/>
      <c r="H25" s="21"/>
      <c r="I25" s="21"/>
    </row>
    <row r="26" customFormat="false" ht="18" hidden="false" customHeight="true" outlineLevel="0" collapsed="false">
      <c r="B26" s="20" t="s">
        <v>35</v>
      </c>
      <c r="C26" s="21" t="s">
        <v>36</v>
      </c>
      <c r="D26" s="21"/>
      <c r="E26" s="21"/>
      <c r="F26" s="21"/>
      <c r="G26" s="21"/>
      <c r="H26" s="21"/>
      <c r="I26" s="21"/>
    </row>
    <row r="27" customFormat="false" ht="18" hidden="false" customHeight="true" outlineLevel="0" collapsed="false">
      <c r="B27" s="20" t="s">
        <v>37</v>
      </c>
      <c r="C27" s="21" t="s">
        <v>38</v>
      </c>
      <c r="D27" s="21"/>
      <c r="E27" s="21"/>
      <c r="F27" s="21"/>
      <c r="G27" s="21"/>
      <c r="H27" s="21"/>
      <c r="I27" s="21"/>
    </row>
    <row r="28" customFormat="false" ht="18" hidden="false" customHeight="true" outlineLevel="0" collapsed="false">
      <c r="B28" s="20" t="s">
        <v>39</v>
      </c>
      <c r="C28" s="21" t="s">
        <v>40</v>
      </c>
      <c r="D28" s="21"/>
      <c r="E28" s="21"/>
      <c r="F28" s="21"/>
      <c r="G28" s="21"/>
      <c r="H28" s="21"/>
      <c r="I28" s="21"/>
    </row>
    <row r="29" customFormat="false" ht="18" hidden="false" customHeight="true" outlineLevel="0" collapsed="false">
      <c r="B29" s="20" t="s">
        <v>41</v>
      </c>
      <c r="C29" s="21" t="s">
        <v>42</v>
      </c>
      <c r="D29" s="21"/>
      <c r="E29" s="21"/>
      <c r="F29" s="21"/>
      <c r="G29" s="21"/>
      <c r="H29" s="21"/>
      <c r="I29" s="21"/>
    </row>
  </sheetData>
  <mergeCells count="8">
    <mergeCell ref="B22:I22"/>
    <mergeCell ref="C23:I23"/>
    <mergeCell ref="C24:I24"/>
    <mergeCell ref="C25:I25"/>
    <mergeCell ref="C26:I26"/>
    <mergeCell ref="C27:I27"/>
    <mergeCell ref="C28:I28"/>
    <mergeCell ref="C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20"/>
    <col collapsed="false" customWidth="true" hidden="false" outlineLevel="0" max="18" min="17" style="0" width="14"/>
  </cols>
  <sheetData>
    <row r="1" customFormat="false" ht="27.75" hidden="false" customHeight="true" outlineLevel="0" collapsed="false">
      <c r="A1" s="22" t="s">
        <v>43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39.75" hidden="false" customHeight="true" outlineLevel="0" collapsed="false">
      <c r="A2" s="23" t="s">
        <v>44</v>
      </c>
      <c r="B2" s="23" t="s">
        <v>3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</row>
    <row r="3" customFormat="false" ht="54.75" hidden="false" customHeight="true" outlineLevel="0" collapsed="false">
      <c r="A3" s="24" t="s">
        <v>61</v>
      </c>
      <c r="B3" s="25" t="s">
        <v>11</v>
      </c>
      <c r="C3" s="25" t="s">
        <v>62</v>
      </c>
      <c r="D3" s="25" t="s">
        <v>63</v>
      </c>
      <c r="E3" s="25" t="s">
        <v>64</v>
      </c>
      <c r="F3" s="26" t="s">
        <v>65</v>
      </c>
      <c r="G3" s="25" t="s">
        <v>66</v>
      </c>
      <c r="H3" s="25" t="s">
        <v>67</v>
      </c>
      <c r="I3" s="25" t="s">
        <v>68</v>
      </c>
      <c r="J3" s="27" t="s">
        <v>69</v>
      </c>
      <c r="K3" s="25"/>
      <c r="L3" s="28"/>
      <c r="M3" s="25"/>
      <c r="N3" s="28"/>
      <c r="O3" s="25"/>
      <c r="P3" s="28"/>
      <c r="Q3" s="29"/>
      <c r="R3" s="28"/>
    </row>
    <row r="4" customFormat="false" ht="54.75" hidden="false" customHeight="true" outlineLevel="0" collapsed="false">
      <c r="A4" s="24" t="s">
        <v>70</v>
      </c>
      <c r="B4" s="30" t="s">
        <v>11</v>
      </c>
      <c r="C4" s="30" t="s">
        <v>62</v>
      </c>
      <c r="D4" s="30" t="s">
        <v>71</v>
      </c>
      <c r="E4" s="30" t="s">
        <v>72</v>
      </c>
      <c r="F4" s="31" t="s">
        <v>73</v>
      </c>
      <c r="G4" s="30" t="s">
        <v>74</v>
      </c>
      <c r="H4" s="30" t="s">
        <v>75</v>
      </c>
      <c r="I4" s="30" t="s">
        <v>76</v>
      </c>
      <c r="J4" s="27" t="s">
        <v>69</v>
      </c>
      <c r="K4" s="25"/>
      <c r="L4" s="28"/>
      <c r="M4" s="30"/>
      <c r="N4" s="28"/>
      <c r="O4" s="25"/>
      <c r="P4" s="28"/>
      <c r="Q4" s="29"/>
      <c r="R4" s="28"/>
    </row>
    <row r="5" customFormat="false" ht="54.75" hidden="false" customHeight="true" outlineLevel="0" collapsed="false">
      <c r="A5" s="24" t="s">
        <v>77</v>
      </c>
      <c r="B5" s="25" t="s">
        <v>11</v>
      </c>
      <c r="C5" s="25" t="s">
        <v>62</v>
      </c>
      <c r="D5" s="25" t="s">
        <v>78</v>
      </c>
      <c r="E5" s="25" t="s">
        <v>79</v>
      </c>
      <c r="F5" s="31" t="s">
        <v>73</v>
      </c>
      <c r="G5" s="25" t="s">
        <v>74</v>
      </c>
      <c r="H5" s="25" t="s">
        <v>75</v>
      </c>
      <c r="I5" s="25" t="s">
        <v>80</v>
      </c>
      <c r="J5" s="27" t="s">
        <v>69</v>
      </c>
      <c r="K5" s="25"/>
      <c r="L5" s="28"/>
      <c r="M5" s="25"/>
      <c r="N5" s="28"/>
      <c r="O5" s="25"/>
      <c r="P5" s="28"/>
      <c r="Q5" s="29"/>
      <c r="R5" s="28"/>
    </row>
    <row r="6" customFormat="false" ht="54.75" hidden="false" customHeight="true" outlineLevel="0" collapsed="false">
      <c r="A6" s="24" t="s">
        <v>81</v>
      </c>
      <c r="B6" s="30" t="s">
        <v>11</v>
      </c>
      <c r="C6" s="30" t="s">
        <v>82</v>
      </c>
      <c r="D6" s="30" t="s">
        <v>83</v>
      </c>
      <c r="E6" s="30" t="s">
        <v>84</v>
      </c>
      <c r="F6" s="31" t="s">
        <v>73</v>
      </c>
      <c r="G6" s="30" t="s">
        <v>66</v>
      </c>
      <c r="H6" s="30" t="s">
        <v>85</v>
      </c>
      <c r="I6" s="30" t="s">
        <v>86</v>
      </c>
      <c r="J6" s="27" t="s">
        <v>69</v>
      </c>
      <c r="K6" s="25"/>
      <c r="L6" s="28"/>
      <c r="M6" s="30"/>
      <c r="N6" s="28"/>
      <c r="O6" s="25"/>
      <c r="P6" s="28"/>
      <c r="Q6" s="29"/>
      <c r="R6" s="28"/>
    </row>
    <row r="7" customFormat="false" ht="54.75" hidden="false" customHeight="true" outlineLevel="0" collapsed="false">
      <c r="A7" s="24" t="s">
        <v>87</v>
      </c>
      <c r="B7" s="25" t="s">
        <v>11</v>
      </c>
      <c r="C7" s="25" t="s">
        <v>82</v>
      </c>
      <c r="D7" s="25" t="s">
        <v>88</v>
      </c>
      <c r="E7" s="25" t="s">
        <v>89</v>
      </c>
      <c r="F7" s="24" t="s">
        <v>90</v>
      </c>
      <c r="G7" s="25" t="s">
        <v>66</v>
      </c>
      <c r="H7" s="25" t="s">
        <v>85</v>
      </c>
      <c r="I7" s="25" t="s">
        <v>91</v>
      </c>
      <c r="J7" s="27" t="s">
        <v>69</v>
      </c>
      <c r="K7" s="25"/>
      <c r="L7" s="28"/>
      <c r="M7" s="25"/>
      <c r="N7" s="28"/>
      <c r="O7" s="25"/>
      <c r="P7" s="28"/>
      <c r="Q7" s="29"/>
      <c r="R7" s="28"/>
    </row>
    <row r="8" customFormat="false" ht="54.75" hidden="false" customHeight="true" outlineLevel="0" collapsed="false">
      <c r="A8" s="24" t="s">
        <v>92</v>
      </c>
      <c r="B8" s="30" t="s">
        <v>11</v>
      </c>
      <c r="C8" s="30" t="s">
        <v>93</v>
      </c>
      <c r="D8" s="30" t="s">
        <v>94</v>
      </c>
      <c r="E8" s="30" t="s">
        <v>95</v>
      </c>
      <c r="F8" s="26" t="s">
        <v>65</v>
      </c>
      <c r="G8" s="30" t="s">
        <v>74</v>
      </c>
      <c r="H8" s="30" t="s">
        <v>75</v>
      </c>
      <c r="I8" s="30" t="s">
        <v>96</v>
      </c>
      <c r="J8" s="27" t="s">
        <v>69</v>
      </c>
      <c r="K8" s="25"/>
      <c r="L8" s="28"/>
      <c r="M8" s="30"/>
      <c r="N8" s="28"/>
      <c r="O8" s="25"/>
      <c r="P8" s="28"/>
      <c r="Q8" s="29"/>
      <c r="R8" s="28"/>
    </row>
    <row r="9" customFormat="false" ht="54.75" hidden="false" customHeight="true" outlineLevel="0" collapsed="false">
      <c r="A9" s="24" t="s">
        <v>97</v>
      </c>
      <c r="B9" s="25" t="s">
        <v>11</v>
      </c>
      <c r="C9" s="25" t="s">
        <v>93</v>
      </c>
      <c r="D9" s="25" t="s">
        <v>98</v>
      </c>
      <c r="E9" s="25" t="s">
        <v>99</v>
      </c>
      <c r="F9" s="31" t="s">
        <v>73</v>
      </c>
      <c r="G9" s="25" t="s">
        <v>74</v>
      </c>
      <c r="H9" s="25" t="s">
        <v>75</v>
      </c>
      <c r="I9" s="25" t="s">
        <v>100</v>
      </c>
      <c r="J9" s="27" t="s">
        <v>69</v>
      </c>
      <c r="K9" s="25"/>
      <c r="L9" s="28"/>
      <c r="M9" s="25"/>
      <c r="N9" s="28"/>
      <c r="O9" s="25"/>
      <c r="P9" s="28"/>
      <c r="Q9" s="29"/>
      <c r="R9" s="28"/>
    </row>
    <row r="10" customFormat="false" ht="54.75" hidden="false" customHeight="true" outlineLevel="0" collapsed="false">
      <c r="A10" s="24" t="s">
        <v>101</v>
      </c>
      <c r="B10" s="30" t="s">
        <v>11</v>
      </c>
      <c r="C10" s="30" t="s">
        <v>93</v>
      </c>
      <c r="D10" s="30" t="s">
        <v>102</v>
      </c>
      <c r="E10" s="30" t="s">
        <v>103</v>
      </c>
      <c r="F10" s="24" t="s">
        <v>90</v>
      </c>
      <c r="G10" s="30" t="s">
        <v>66</v>
      </c>
      <c r="H10" s="30" t="s">
        <v>67</v>
      </c>
      <c r="I10" s="30" t="s">
        <v>104</v>
      </c>
      <c r="J10" s="27" t="s">
        <v>69</v>
      </c>
      <c r="K10" s="25"/>
      <c r="L10" s="28"/>
      <c r="M10" s="30"/>
      <c r="N10" s="28"/>
      <c r="O10" s="25"/>
      <c r="P10" s="28"/>
      <c r="Q10" s="29"/>
      <c r="R10" s="28"/>
    </row>
    <row r="11" customFormat="false" ht="54.75" hidden="false" customHeight="true" outlineLevel="0" collapsed="false">
      <c r="A11" s="24" t="s">
        <v>105</v>
      </c>
      <c r="B11" s="25" t="s">
        <v>11</v>
      </c>
      <c r="C11" s="25" t="s">
        <v>106</v>
      </c>
      <c r="D11" s="25" t="s">
        <v>107</v>
      </c>
      <c r="E11" s="25" t="s">
        <v>108</v>
      </c>
      <c r="F11" s="26" t="s">
        <v>65</v>
      </c>
      <c r="G11" s="25" t="s">
        <v>74</v>
      </c>
      <c r="H11" s="25" t="s">
        <v>75</v>
      </c>
      <c r="I11" s="25" t="s">
        <v>109</v>
      </c>
      <c r="J11" s="27" t="s">
        <v>69</v>
      </c>
      <c r="K11" s="25"/>
      <c r="L11" s="28"/>
      <c r="M11" s="25"/>
      <c r="N11" s="28"/>
      <c r="O11" s="25"/>
      <c r="P11" s="28"/>
      <c r="Q11" s="29"/>
      <c r="R11" s="28"/>
    </row>
    <row r="12" customFormat="false" ht="54.75" hidden="false" customHeight="true" outlineLevel="0" collapsed="false">
      <c r="A12" s="24" t="s">
        <v>110</v>
      </c>
      <c r="B12" s="30" t="s">
        <v>11</v>
      </c>
      <c r="C12" s="30" t="s">
        <v>106</v>
      </c>
      <c r="D12" s="30" t="s">
        <v>111</v>
      </c>
      <c r="E12" s="30" t="s">
        <v>112</v>
      </c>
      <c r="F12" s="26" t="s">
        <v>65</v>
      </c>
      <c r="G12" s="30" t="s">
        <v>74</v>
      </c>
      <c r="H12" s="30" t="s">
        <v>75</v>
      </c>
      <c r="I12" s="30" t="s">
        <v>113</v>
      </c>
      <c r="J12" s="27" t="s">
        <v>69</v>
      </c>
      <c r="K12" s="25"/>
      <c r="L12" s="28"/>
      <c r="M12" s="30"/>
      <c r="N12" s="28"/>
      <c r="O12" s="25"/>
      <c r="P12" s="28"/>
      <c r="Q12" s="29"/>
      <c r="R12" s="28"/>
    </row>
    <row r="13" customFormat="false" ht="54.75" hidden="false" customHeight="true" outlineLevel="0" collapsed="false">
      <c r="A13" s="24" t="s">
        <v>114</v>
      </c>
      <c r="B13" s="25" t="s">
        <v>11</v>
      </c>
      <c r="C13" s="25" t="s">
        <v>106</v>
      </c>
      <c r="D13" s="25" t="s">
        <v>115</v>
      </c>
      <c r="E13" s="25" t="s">
        <v>116</v>
      </c>
      <c r="F13" s="24" t="s">
        <v>90</v>
      </c>
      <c r="G13" s="25" t="s">
        <v>74</v>
      </c>
      <c r="H13" s="25" t="s">
        <v>75</v>
      </c>
      <c r="I13" s="25" t="s">
        <v>117</v>
      </c>
      <c r="J13" s="27" t="s">
        <v>69</v>
      </c>
      <c r="K13" s="25"/>
      <c r="L13" s="28"/>
      <c r="M13" s="25"/>
      <c r="N13" s="28"/>
      <c r="O13" s="25"/>
      <c r="P13" s="28"/>
      <c r="Q13" s="29"/>
      <c r="R13" s="28"/>
    </row>
    <row r="14" customFormat="false" ht="54.75" hidden="false" customHeight="true" outlineLevel="0" collapsed="false">
      <c r="A14" s="24" t="s">
        <v>118</v>
      </c>
      <c r="B14" s="30" t="s">
        <v>11</v>
      </c>
      <c r="C14" s="30" t="s">
        <v>106</v>
      </c>
      <c r="D14" s="30" t="s">
        <v>119</v>
      </c>
      <c r="E14" s="30" t="s">
        <v>120</v>
      </c>
      <c r="F14" s="31" t="s">
        <v>73</v>
      </c>
      <c r="G14" s="30" t="s">
        <v>74</v>
      </c>
      <c r="H14" s="30" t="s">
        <v>75</v>
      </c>
      <c r="I14" s="30" t="s">
        <v>121</v>
      </c>
      <c r="J14" s="27" t="s">
        <v>69</v>
      </c>
      <c r="K14" s="25"/>
      <c r="L14" s="28"/>
      <c r="M14" s="30"/>
      <c r="N14" s="28"/>
      <c r="O14" s="25"/>
      <c r="P14" s="28"/>
      <c r="Q14" s="29"/>
      <c r="R14" s="28"/>
    </row>
    <row r="15" customFormat="false" ht="54.75" hidden="false" customHeight="true" outlineLevel="0" collapsed="false">
      <c r="A15" s="24" t="s">
        <v>122</v>
      </c>
      <c r="B15" s="25" t="s">
        <v>11</v>
      </c>
      <c r="C15" s="25" t="s">
        <v>123</v>
      </c>
      <c r="D15" s="25" t="s">
        <v>124</v>
      </c>
      <c r="E15" s="25" t="s">
        <v>125</v>
      </c>
      <c r="F15" s="31" t="s">
        <v>73</v>
      </c>
      <c r="G15" s="25" t="s">
        <v>66</v>
      </c>
      <c r="H15" s="25" t="s">
        <v>67</v>
      </c>
      <c r="I15" s="25" t="s">
        <v>126</v>
      </c>
      <c r="J15" s="27" t="s">
        <v>69</v>
      </c>
      <c r="K15" s="25"/>
      <c r="L15" s="28"/>
      <c r="M15" s="25"/>
      <c r="N15" s="28"/>
      <c r="O15" s="25"/>
      <c r="P15" s="28"/>
      <c r="Q15" s="29"/>
      <c r="R15" s="28"/>
    </row>
    <row r="16" customFormat="false" ht="54.75" hidden="false" customHeight="true" outlineLevel="0" collapsed="false">
      <c r="A16" s="24" t="s">
        <v>127</v>
      </c>
      <c r="B16" s="30" t="s">
        <v>11</v>
      </c>
      <c r="C16" s="30" t="s">
        <v>123</v>
      </c>
      <c r="D16" s="30" t="s">
        <v>128</v>
      </c>
      <c r="E16" s="30" t="s">
        <v>129</v>
      </c>
      <c r="F16" s="31" t="s">
        <v>73</v>
      </c>
      <c r="G16" s="30" t="s">
        <v>66</v>
      </c>
      <c r="H16" s="30" t="s">
        <v>75</v>
      </c>
      <c r="I16" s="30" t="s">
        <v>130</v>
      </c>
      <c r="J16" s="27" t="s">
        <v>69</v>
      </c>
      <c r="K16" s="25"/>
      <c r="L16" s="28"/>
      <c r="M16" s="30"/>
      <c r="N16" s="28"/>
      <c r="O16" s="25"/>
      <c r="P16" s="28"/>
      <c r="Q16" s="29"/>
      <c r="R16" s="28"/>
    </row>
    <row r="17" customFormat="false" ht="54.75" hidden="false" customHeight="true" outlineLevel="0" collapsed="false">
      <c r="A17" s="24" t="s">
        <v>131</v>
      </c>
      <c r="B17" s="25" t="s">
        <v>11</v>
      </c>
      <c r="C17" s="25" t="s">
        <v>123</v>
      </c>
      <c r="D17" s="25" t="s">
        <v>132</v>
      </c>
      <c r="E17" s="25" t="s">
        <v>133</v>
      </c>
      <c r="F17" s="31" t="s">
        <v>73</v>
      </c>
      <c r="G17" s="25" t="s">
        <v>66</v>
      </c>
      <c r="H17" s="25" t="s">
        <v>85</v>
      </c>
      <c r="I17" s="25" t="s">
        <v>134</v>
      </c>
      <c r="J17" s="27" t="s">
        <v>69</v>
      </c>
      <c r="K17" s="25"/>
      <c r="L17" s="28"/>
      <c r="M17" s="25"/>
      <c r="N17" s="28"/>
      <c r="O17" s="25"/>
      <c r="P17" s="28"/>
      <c r="Q17" s="29"/>
      <c r="R17" s="28"/>
    </row>
    <row r="18" customFormat="false" ht="54.75" hidden="false" customHeight="true" outlineLevel="0" collapsed="false">
      <c r="A18" s="24" t="s">
        <v>135</v>
      </c>
      <c r="B18" s="30" t="s">
        <v>11</v>
      </c>
      <c r="C18" s="30" t="s">
        <v>123</v>
      </c>
      <c r="D18" s="30" t="s">
        <v>136</v>
      </c>
      <c r="E18" s="30" t="s">
        <v>137</v>
      </c>
      <c r="F18" s="24" t="s">
        <v>90</v>
      </c>
      <c r="G18" s="30" t="s">
        <v>74</v>
      </c>
      <c r="H18" s="30" t="s">
        <v>75</v>
      </c>
      <c r="I18" s="30" t="s">
        <v>138</v>
      </c>
      <c r="J18" s="27" t="s">
        <v>69</v>
      </c>
      <c r="K18" s="25"/>
      <c r="L18" s="28"/>
      <c r="M18" s="30"/>
      <c r="N18" s="28"/>
      <c r="O18" s="25"/>
      <c r="P18" s="28"/>
      <c r="Q18" s="29"/>
      <c r="R18" s="28"/>
    </row>
    <row r="19" customFormat="false" ht="54.75" hidden="false" customHeight="true" outlineLevel="0" collapsed="false">
      <c r="A19" s="24" t="s">
        <v>139</v>
      </c>
      <c r="B19" s="25" t="s">
        <v>11</v>
      </c>
      <c r="C19" s="25" t="s">
        <v>140</v>
      </c>
      <c r="D19" s="25" t="s">
        <v>141</v>
      </c>
      <c r="E19" s="25" t="s">
        <v>142</v>
      </c>
      <c r="F19" s="31" t="s">
        <v>73</v>
      </c>
      <c r="G19" s="25" t="s">
        <v>74</v>
      </c>
      <c r="H19" s="25" t="s">
        <v>75</v>
      </c>
      <c r="I19" s="25" t="s">
        <v>143</v>
      </c>
      <c r="J19" s="27" t="s">
        <v>69</v>
      </c>
      <c r="K19" s="25"/>
      <c r="L19" s="28"/>
      <c r="M19" s="25"/>
      <c r="N19" s="28"/>
      <c r="O19" s="25"/>
      <c r="P19" s="28"/>
      <c r="Q19" s="29"/>
      <c r="R19" s="28"/>
    </row>
    <row r="20" customFormat="false" ht="54.75" hidden="false" customHeight="true" outlineLevel="0" collapsed="false">
      <c r="A20" s="24" t="s">
        <v>144</v>
      </c>
      <c r="B20" s="30" t="s">
        <v>11</v>
      </c>
      <c r="C20" s="30" t="s">
        <v>140</v>
      </c>
      <c r="D20" s="30" t="s">
        <v>145</v>
      </c>
      <c r="E20" s="30" t="s">
        <v>146</v>
      </c>
      <c r="F20" s="24" t="s">
        <v>90</v>
      </c>
      <c r="G20" s="30" t="s">
        <v>74</v>
      </c>
      <c r="H20" s="30" t="s">
        <v>75</v>
      </c>
      <c r="I20" s="30" t="s">
        <v>147</v>
      </c>
      <c r="J20" s="27" t="s">
        <v>69</v>
      </c>
      <c r="K20" s="25"/>
      <c r="L20" s="28"/>
      <c r="M20" s="30"/>
      <c r="N20" s="28"/>
      <c r="O20" s="25"/>
      <c r="P20" s="28"/>
      <c r="Q20" s="29"/>
      <c r="R20" s="28"/>
    </row>
    <row r="21" customFormat="false" ht="54.75" hidden="false" customHeight="true" outlineLevel="0" collapsed="false">
      <c r="A21" s="24" t="s">
        <v>148</v>
      </c>
      <c r="B21" s="25" t="s">
        <v>11</v>
      </c>
      <c r="C21" s="25" t="s">
        <v>140</v>
      </c>
      <c r="D21" s="25" t="s">
        <v>149</v>
      </c>
      <c r="E21" s="25" t="s">
        <v>150</v>
      </c>
      <c r="F21" s="24" t="s">
        <v>90</v>
      </c>
      <c r="G21" s="25" t="s">
        <v>66</v>
      </c>
      <c r="H21" s="25" t="s">
        <v>67</v>
      </c>
      <c r="I21" s="25" t="s">
        <v>151</v>
      </c>
      <c r="J21" s="27" t="s">
        <v>69</v>
      </c>
      <c r="K21" s="25"/>
      <c r="L21" s="28"/>
      <c r="M21" s="25"/>
      <c r="N21" s="28"/>
      <c r="O21" s="25"/>
      <c r="P21" s="28"/>
      <c r="Q21" s="29"/>
      <c r="R21" s="28"/>
    </row>
    <row r="22" customFormat="false" ht="54.75" hidden="false" customHeight="true" outlineLevel="0" collapsed="false">
      <c r="A22" s="24" t="s">
        <v>152</v>
      </c>
      <c r="B22" s="30" t="s">
        <v>11</v>
      </c>
      <c r="C22" s="30" t="s">
        <v>153</v>
      </c>
      <c r="D22" s="30" t="s">
        <v>154</v>
      </c>
      <c r="E22" s="30" t="s">
        <v>155</v>
      </c>
      <c r="F22" s="24" t="s">
        <v>90</v>
      </c>
      <c r="G22" s="30" t="s">
        <v>74</v>
      </c>
      <c r="H22" s="30" t="s">
        <v>75</v>
      </c>
      <c r="I22" s="30" t="s">
        <v>156</v>
      </c>
      <c r="J22" s="27" t="s">
        <v>69</v>
      </c>
      <c r="K22" s="25"/>
      <c r="L22" s="28"/>
      <c r="M22" s="30"/>
      <c r="N22" s="28"/>
      <c r="O22" s="25"/>
      <c r="P22" s="28"/>
      <c r="Q22" s="29"/>
      <c r="R22" s="28"/>
    </row>
    <row r="23" customFormat="false" ht="54.75" hidden="false" customHeight="true" outlineLevel="0" collapsed="false">
      <c r="A23" s="24" t="s">
        <v>157</v>
      </c>
      <c r="B23" s="25" t="s">
        <v>11</v>
      </c>
      <c r="C23" s="25" t="s">
        <v>158</v>
      </c>
      <c r="D23" s="25" t="s">
        <v>159</v>
      </c>
      <c r="E23" s="25" t="s">
        <v>160</v>
      </c>
      <c r="F23" s="31" t="s">
        <v>73</v>
      </c>
      <c r="G23" s="25" t="s">
        <v>66</v>
      </c>
      <c r="H23" s="25" t="s">
        <v>161</v>
      </c>
      <c r="I23" s="25" t="s">
        <v>162</v>
      </c>
      <c r="J23" s="27" t="s">
        <v>69</v>
      </c>
      <c r="K23" s="25"/>
      <c r="L23" s="28"/>
      <c r="M23" s="25"/>
      <c r="N23" s="28"/>
      <c r="O23" s="25"/>
      <c r="P23" s="28"/>
      <c r="Q23" s="29"/>
      <c r="R23" s="28"/>
    </row>
    <row r="24" customFormat="false" ht="54.75" hidden="false" customHeight="true" outlineLevel="0" collapsed="false">
      <c r="A24" s="24" t="s">
        <v>163</v>
      </c>
      <c r="B24" s="30" t="s">
        <v>11</v>
      </c>
      <c r="C24" s="30" t="s">
        <v>158</v>
      </c>
      <c r="D24" s="30" t="s">
        <v>164</v>
      </c>
      <c r="E24" s="30" t="s">
        <v>165</v>
      </c>
      <c r="F24" s="31" t="s">
        <v>73</v>
      </c>
      <c r="G24" s="30" t="s">
        <v>74</v>
      </c>
      <c r="H24" s="30" t="s">
        <v>85</v>
      </c>
      <c r="I24" s="30" t="s">
        <v>166</v>
      </c>
      <c r="J24" s="27" t="s">
        <v>69</v>
      </c>
      <c r="K24" s="25"/>
      <c r="L24" s="28"/>
      <c r="M24" s="30"/>
      <c r="N24" s="28"/>
      <c r="O24" s="25"/>
      <c r="P24" s="28"/>
      <c r="Q24" s="29"/>
      <c r="R24" s="28"/>
    </row>
  </sheetData>
  <mergeCells count="1">
    <mergeCell ref="A1:R1"/>
  </mergeCells>
  <conditionalFormatting sqref="J3:J24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"Non-Compliant"</formula>
    </cfRule>
    <cfRule type="cellIs" priority="4" operator="equal" aboveAverage="0" equalAverage="0" bottom="0" percent="0" rank="0" text="" dxfId="2">
      <formula>"Partial"</formula>
    </cfRule>
  </conditionalFormatting>
  <dataValidations count="2">
    <dataValidation allowBlank="true" errorStyle="stop" operator="between" showDropDown="false" showErrorMessage="false" showInputMessage="false" sqref="J3:J24" type="list">
      <formula1>"Compliant,Partial,Non-Compliant,N/A,Not Tested"</formula1>
      <formula2>0</formula2>
    </dataValidation>
    <dataValidation allowBlank="true" errorStyle="stop" operator="between" showDropDown="false" showErrorMessage="false" showInputMessage="false" sqref="Q3:Q24" type="list">
      <formula1>"Satisfactory,Needs Improvement,Unsatisfactory,N/A"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20"/>
    <col collapsed="false" customWidth="true" hidden="false" outlineLevel="0" max="18" min="17" style="0" width="14"/>
  </cols>
  <sheetData>
    <row r="1" customFormat="false" ht="27.75" hidden="false" customHeight="true" outlineLevel="0" collapsed="false">
      <c r="A1" s="22" t="s">
        <v>167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39.75" hidden="false" customHeight="true" outlineLevel="0" collapsed="false">
      <c r="A2" s="23" t="s">
        <v>44</v>
      </c>
      <c r="B2" s="23" t="s">
        <v>3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</row>
    <row r="3" customFormat="false" ht="54.75" hidden="false" customHeight="true" outlineLevel="0" collapsed="false">
      <c r="A3" s="24" t="s">
        <v>168</v>
      </c>
      <c r="B3" s="25" t="s">
        <v>12</v>
      </c>
      <c r="C3" s="25" t="s">
        <v>169</v>
      </c>
      <c r="D3" s="25" t="s">
        <v>170</v>
      </c>
      <c r="E3" s="25" t="s">
        <v>171</v>
      </c>
      <c r="F3" s="31" t="s">
        <v>73</v>
      </c>
      <c r="G3" s="25" t="s">
        <v>74</v>
      </c>
      <c r="H3" s="25" t="s">
        <v>172</v>
      </c>
      <c r="I3" s="25" t="s">
        <v>173</v>
      </c>
      <c r="J3" s="27" t="s">
        <v>69</v>
      </c>
      <c r="K3" s="25"/>
      <c r="L3" s="28"/>
      <c r="M3" s="25"/>
      <c r="N3" s="28"/>
      <c r="O3" s="25"/>
      <c r="P3" s="28"/>
      <c r="Q3" s="29"/>
      <c r="R3" s="28"/>
    </row>
    <row r="4" customFormat="false" ht="54.75" hidden="false" customHeight="true" outlineLevel="0" collapsed="false">
      <c r="A4" s="24" t="s">
        <v>174</v>
      </c>
      <c r="B4" s="30" t="s">
        <v>12</v>
      </c>
      <c r="C4" s="30" t="s">
        <v>169</v>
      </c>
      <c r="D4" s="30" t="s">
        <v>175</v>
      </c>
      <c r="E4" s="30" t="s">
        <v>176</v>
      </c>
      <c r="F4" s="31" t="s">
        <v>73</v>
      </c>
      <c r="G4" s="30" t="s">
        <v>74</v>
      </c>
      <c r="H4" s="30" t="s">
        <v>172</v>
      </c>
      <c r="I4" s="30" t="s">
        <v>177</v>
      </c>
      <c r="J4" s="27" t="s">
        <v>69</v>
      </c>
      <c r="K4" s="25"/>
      <c r="L4" s="28"/>
      <c r="M4" s="30"/>
      <c r="N4" s="28"/>
      <c r="O4" s="25"/>
      <c r="P4" s="28"/>
      <c r="Q4" s="29"/>
      <c r="R4" s="28"/>
    </row>
    <row r="5" customFormat="false" ht="54.75" hidden="false" customHeight="true" outlineLevel="0" collapsed="false">
      <c r="A5" s="24" t="s">
        <v>178</v>
      </c>
      <c r="B5" s="25" t="s">
        <v>12</v>
      </c>
      <c r="C5" s="25" t="s">
        <v>169</v>
      </c>
      <c r="D5" s="25" t="s">
        <v>179</v>
      </c>
      <c r="E5" s="25" t="s">
        <v>180</v>
      </c>
      <c r="F5" s="31" t="s">
        <v>73</v>
      </c>
      <c r="G5" s="25" t="s">
        <v>74</v>
      </c>
      <c r="H5" s="25" t="s">
        <v>67</v>
      </c>
      <c r="I5" s="25" t="s">
        <v>181</v>
      </c>
      <c r="J5" s="27" t="s">
        <v>69</v>
      </c>
      <c r="K5" s="25"/>
      <c r="L5" s="28"/>
      <c r="M5" s="25"/>
      <c r="N5" s="28"/>
      <c r="O5" s="25"/>
      <c r="P5" s="28"/>
      <c r="Q5" s="29"/>
      <c r="R5" s="28"/>
    </row>
    <row r="6" customFormat="false" ht="54.75" hidden="false" customHeight="true" outlineLevel="0" collapsed="false">
      <c r="A6" s="24" t="s">
        <v>182</v>
      </c>
      <c r="B6" s="30" t="s">
        <v>12</v>
      </c>
      <c r="C6" s="30" t="s">
        <v>183</v>
      </c>
      <c r="D6" s="30" t="s">
        <v>184</v>
      </c>
      <c r="E6" s="30" t="s">
        <v>185</v>
      </c>
      <c r="F6" s="26" t="s">
        <v>65</v>
      </c>
      <c r="G6" s="30" t="s">
        <v>74</v>
      </c>
      <c r="H6" s="30" t="s">
        <v>75</v>
      </c>
      <c r="I6" s="30" t="s">
        <v>186</v>
      </c>
      <c r="J6" s="27" t="s">
        <v>69</v>
      </c>
      <c r="K6" s="25"/>
      <c r="L6" s="28"/>
      <c r="M6" s="30"/>
      <c r="N6" s="28"/>
      <c r="O6" s="25"/>
      <c r="P6" s="28"/>
      <c r="Q6" s="29"/>
      <c r="R6" s="28"/>
    </row>
    <row r="7" customFormat="false" ht="54.75" hidden="false" customHeight="true" outlineLevel="0" collapsed="false">
      <c r="A7" s="24" t="s">
        <v>187</v>
      </c>
      <c r="B7" s="25" t="s">
        <v>12</v>
      </c>
      <c r="C7" s="25" t="s">
        <v>183</v>
      </c>
      <c r="D7" s="25" t="s">
        <v>188</v>
      </c>
      <c r="E7" s="25" t="s">
        <v>189</v>
      </c>
      <c r="F7" s="26" t="s">
        <v>65</v>
      </c>
      <c r="G7" s="25" t="s">
        <v>74</v>
      </c>
      <c r="H7" s="25" t="s">
        <v>172</v>
      </c>
      <c r="I7" s="25" t="s">
        <v>190</v>
      </c>
      <c r="J7" s="27" t="s">
        <v>69</v>
      </c>
      <c r="K7" s="25"/>
      <c r="L7" s="28"/>
      <c r="M7" s="25"/>
      <c r="N7" s="28"/>
      <c r="O7" s="25"/>
      <c r="P7" s="28"/>
      <c r="Q7" s="29"/>
      <c r="R7" s="28"/>
    </row>
    <row r="8" customFormat="false" ht="54.75" hidden="false" customHeight="true" outlineLevel="0" collapsed="false">
      <c r="A8" s="24" t="s">
        <v>191</v>
      </c>
      <c r="B8" s="30" t="s">
        <v>12</v>
      </c>
      <c r="C8" s="30" t="s">
        <v>192</v>
      </c>
      <c r="D8" s="30" t="s">
        <v>193</v>
      </c>
      <c r="E8" s="30" t="s">
        <v>194</v>
      </c>
      <c r="F8" s="24" t="s">
        <v>90</v>
      </c>
      <c r="G8" s="30" t="s">
        <v>74</v>
      </c>
      <c r="H8" s="30" t="s">
        <v>172</v>
      </c>
      <c r="I8" s="30" t="s">
        <v>195</v>
      </c>
      <c r="J8" s="27" t="s">
        <v>69</v>
      </c>
      <c r="K8" s="25"/>
      <c r="L8" s="28"/>
      <c r="M8" s="30"/>
      <c r="N8" s="28"/>
      <c r="O8" s="25"/>
      <c r="P8" s="28"/>
      <c r="Q8" s="29"/>
      <c r="R8" s="28"/>
    </row>
    <row r="9" customFormat="false" ht="54.75" hidden="false" customHeight="true" outlineLevel="0" collapsed="false">
      <c r="A9" s="24" t="s">
        <v>196</v>
      </c>
      <c r="B9" s="25" t="s">
        <v>12</v>
      </c>
      <c r="C9" s="25" t="s">
        <v>192</v>
      </c>
      <c r="D9" s="25" t="s">
        <v>197</v>
      </c>
      <c r="E9" s="25" t="s">
        <v>198</v>
      </c>
      <c r="F9" s="31" t="s">
        <v>73</v>
      </c>
      <c r="G9" s="25" t="s">
        <v>74</v>
      </c>
      <c r="H9" s="25" t="s">
        <v>75</v>
      </c>
      <c r="I9" s="25" t="s">
        <v>199</v>
      </c>
      <c r="J9" s="27" t="s">
        <v>69</v>
      </c>
      <c r="K9" s="25"/>
      <c r="L9" s="28"/>
      <c r="M9" s="25"/>
      <c r="N9" s="28"/>
      <c r="O9" s="25"/>
      <c r="P9" s="28"/>
      <c r="Q9" s="29"/>
      <c r="R9" s="28"/>
    </row>
    <row r="10" customFormat="false" ht="54.75" hidden="false" customHeight="true" outlineLevel="0" collapsed="false">
      <c r="A10" s="24" t="s">
        <v>200</v>
      </c>
      <c r="B10" s="30" t="s">
        <v>12</v>
      </c>
      <c r="C10" s="30" t="s">
        <v>192</v>
      </c>
      <c r="D10" s="30" t="s">
        <v>201</v>
      </c>
      <c r="E10" s="30" t="s">
        <v>202</v>
      </c>
      <c r="F10" s="31" t="s">
        <v>73</v>
      </c>
      <c r="G10" s="30" t="s">
        <v>66</v>
      </c>
      <c r="H10" s="30" t="s">
        <v>172</v>
      </c>
      <c r="I10" s="30" t="s">
        <v>203</v>
      </c>
      <c r="J10" s="27" t="s">
        <v>69</v>
      </c>
      <c r="K10" s="25"/>
      <c r="L10" s="28"/>
      <c r="M10" s="30"/>
      <c r="N10" s="28"/>
      <c r="O10" s="25"/>
      <c r="P10" s="28"/>
      <c r="Q10" s="29"/>
      <c r="R10" s="28"/>
    </row>
    <row r="11" customFormat="false" ht="54.75" hidden="false" customHeight="true" outlineLevel="0" collapsed="false">
      <c r="A11" s="24" t="s">
        <v>204</v>
      </c>
      <c r="B11" s="25" t="s">
        <v>12</v>
      </c>
      <c r="C11" s="25" t="s">
        <v>192</v>
      </c>
      <c r="D11" s="25" t="s">
        <v>205</v>
      </c>
      <c r="E11" s="25" t="s">
        <v>206</v>
      </c>
      <c r="F11" s="31" t="s">
        <v>73</v>
      </c>
      <c r="G11" s="25" t="s">
        <v>74</v>
      </c>
      <c r="H11" s="25" t="s">
        <v>75</v>
      </c>
      <c r="I11" s="25" t="s">
        <v>207</v>
      </c>
      <c r="J11" s="27" t="s">
        <v>69</v>
      </c>
      <c r="K11" s="25"/>
      <c r="L11" s="28"/>
      <c r="M11" s="25"/>
      <c r="N11" s="28"/>
      <c r="O11" s="25"/>
      <c r="P11" s="28"/>
      <c r="Q11" s="29"/>
      <c r="R11" s="28"/>
    </row>
    <row r="12" customFormat="false" ht="54.75" hidden="false" customHeight="true" outlineLevel="0" collapsed="false">
      <c r="A12" s="24" t="s">
        <v>208</v>
      </c>
      <c r="B12" s="30" t="s">
        <v>12</v>
      </c>
      <c r="C12" s="30" t="s">
        <v>209</v>
      </c>
      <c r="D12" s="30" t="s">
        <v>210</v>
      </c>
      <c r="E12" s="30" t="s">
        <v>211</v>
      </c>
      <c r="F12" s="31" t="s">
        <v>73</v>
      </c>
      <c r="G12" s="30" t="s">
        <v>74</v>
      </c>
      <c r="H12" s="30" t="s">
        <v>85</v>
      </c>
      <c r="I12" s="30" t="s">
        <v>212</v>
      </c>
      <c r="J12" s="27" t="s">
        <v>69</v>
      </c>
      <c r="K12" s="25"/>
      <c r="L12" s="28"/>
      <c r="M12" s="30"/>
      <c r="N12" s="28"/>
      <c r="O12" s="25"/>
      <c r="P12" s="28"/>
      <c r="Q12" s="29"/>
      <c r="R12" s="28"/>
    </row>
    <row r="13" customFormat="false" ht="54.75" hidden="false" customHeight="true" outlineLevel="0" collapsed="false">
      <c r="A13" s="24" t="s">
        <v>213</v>
      </c>
      <c r="B13" s="25" t="s">
        <v>12</v>
      </c>
      <c r="C13" s="25" t="s">
        <v>209</v>
      </c>
      <c r="D13" s="25" t="s">
        <v>214</v>
      </c>
      <c r="E13" s="25" t="s">
        <v>150</v>
      </c>
      <c r="F13" s="26" t="s">
        <v>65</v>
      </c>
      <c r="G13" s="25" t="s">
        <v>74</v>
      </c>
      <c r="H13" s="25" t="s">
        <v>75</v>
      </c>
      <c r="I13" s="25" t="s">
        <v>215</v>
      </c>
      <c r="J13" s="27" t="s">
        <v>69</v>
      </c>
      <c r="K13" s="25"/>
      <c r="L13" s="28"/>
      <c r="M13" s="25"/>
      <c r="N13" s="28"/>
      <c r="O13" s="25"/>
      <c r="P13" s="28"/>
      <c r="Q13" s="29"/>
      <c r="R13" s="28"/>
    </row>
    <row r="14" customFormat="false" ht="54.75" hidden="false" customHeight="true" outlineLevel="0" collapsed="false">
      <c r="A14" s="24" t="s">
        <v>216</v>
      </c>
      <c r="B14" s="30" t="s">
        <v>12</v>
      </c>
      <c r="C14" s="30" t="s">
        <v>217</v>
      </c>
      <c r="D14" s="30" t="s">
        <v>218</v>
      </c>
      <c r="E14" s="30" t="s">
        <v>219</v>
      </c>
      <c r="F14" s="24" t="s">
        <v>90</v>
      </c>
      <c r="G14" s="30" t="s">
        <v>66</v>
      </c>
      <c r="H14" s="30" t="s">
        <v>67</v>
      </c>
      <c r="I14" s="30" t="s">
        <v>220</v>
      </c>
      <c r="J14" s="27" t="s">
        <v>69</v>
      </c>
      <c r="K14" s="25"/>
      <c r="L14" s="28"/>
      <c r="M14" s="30"/>
      <c r="N14" s="28"/>
      <c r="O14" s="25"/>
      <c r="P14" s="28"/>
      <c r="Q14" s="29"/>
      <c r="R14" s="28"/>
    </row>
    <row r="15" customFormat="false" ht="54.75" hidden="false" customHeight="true" outlineLevel="0" collapsed="false">
      <c r="A15" s="24" t="s">
        <v>221</v>
      </c>
      <c r="B15" s="25" t="s">
        <v>12</v>
      </c>
      <c r="C15" s="25" t="s">
        <v>217</v>
      </c>
      <c r="D15" s="25" t="s">
        <v>222</v>
      </c>
      <c r="E15" s="25" t="s">
        <v>223</v>
      </c>
      <c r="F15" s="31" t="s">
        <v>73</v>
      </c>
      <c r="G15" s="25" t="s">
        <v>66</v>
      </c>
      <c r="H15" s="25" t="s">
        <v>75</v>
      </c>
      <c r="I15" s="25" t="s">
        <v>224</v>
      </c>
      <c r="J15" s="27" t="s">
        <v>69</v>
      </c>
      <c r="K15" s="25"/>
      <c r="L15" s="28"/>
      <c r="M15" s="25"/>
      <c r="N15" s="28"/>
      <c r="O15" s="25"/>
      <c r="P15" s="28"/>
      <c r="Q15" s="29"/>
      <c r="R15" s="28"/>
    </row>
    <row r="16" customFormat="false" ht="54.75" hidden="false" customHeight="true" outlineLevel="0" collapsed="false">
      <c r="A16" s="24" t="s">
        <v>225</v>
      </c>
      <c r="B16" s="30" t="s">
        <v>12</v>
      </c>
      <c r="C16" s="30" t="s">
        <v>226</v>
      </c>
      <c r="D16" s="30" t="s">
        <v>227</v>
      </c>
      <c r="E16" s="30" t="s">
        <v>150</v>
      </c>
      <c r="F16" s="31" t="s">
        <v>73</v>
      </c>
      <c r="G16" s="30" t="s">
        <v>74</v>
      </c>
      <c r="H16" s="30" t="s">
        <v>67</v>
      </c>
      <c r="I16" s="30" t="s">
        <v>228</v>
      </c>
      <c r="J16" s="27" t="s">
        <v>69</v>
      </c>
      <c r="K16" s="25"/>
      <c r="L16" s="28"/>
      <c r="M16" s="30"/>
      <c r="N16" s="28"/>
      <c r="O16" s="25"/>
      <c r="P16" s="28"/>
      <c r="Q16" s="29"/>
      <c r="R16" s="28"/>
    </row>
    <row r="17" customFormat="false" ht="54.75" hidden="false" customHeight="true" outlineLevel="0" collapsed="false">
      <c r="A17" s="24" t="s">
        <v>229</v>
      </c>
      <c r="B17" s="25" t="s">
        <v>12</v>
      </c>
      <c r="C17" s="25" t="s">
        <v>226</v>
      </c>
      <c r="D17" s="25" t="s">
        <v>230</v>
      </c>
      <c r="E17" s="25" t="s">
        <v>150</v>
      </c>
      <c r="F17" s="24" t="s">
        <v>90</v>
      </c>
      <c r="G17" s="25" t="s">
        <v>74</v>
      </c>
      <c r="H17" s="25" t="s">
        <v>67</v>
      </c>
      <c r="I17" s="25" t="s">
        <v>231</v>
      </c>
      <c r="J17" s="27" t="s">
        <v>69</v>
      </c>
      <c r="K17" s="25"/>
      <c r="L17" s="28"/>
      <c r="M17" s="25"/>
      <c r="N17" s="28"/>
      <c r="O17" s="25"/>
      <c r="P17" s="28"/>
      <c r="Q17" s="29"/>
      <c r="R17" s="28"/>
    </row>
    <row r="18" customFormat="false" ht="54.75" hidden="false" customHeight="true" outlineLevel="0" collapsed="false">
      <c r="A18" s="24" t="s">
        <v>232</v>
      </c>
      <c r="B18" s="30" t="s">
        <v>12</v>
      </c>
      <c r="C18" s="30" t="s">
        <v>226</v>
      </c>
      <c r="D18" s="30" t="s">
        <v>233</v>
      </c>
      <c r="E18" s="30" t="s">
        <v>234</v>
      </c>
      <c r="F18" s="31" t="s">
        <v>73</v>
      </c>
      <c r="G18" s="30" t="s">
        <v>66</v>
      </c>
      <c r="H18" s="30" t="s">
        <v>85</v>
      </c>
      <c r="I18" s="30" t="s">
        <v>235</v>
      </c>
      <c r="J18" s="27" t="s">
        <v>69</v>
      </c>
      <c r="K18" s="25"/>
      <c r="L18" s="28"/>
      <c r="M18" s="30"/>
      <c r="N18" s="28"/>
      <c r="O18" s="25"/>
      <c r="P18" s="28"/>
      <c r="Q18" s="29"/>
      <c r="R18" s="28"/>
    </row>
    <row r="19" customFormat="false" ht="54.75" hidden="false" customHeight="true" outlineLevel="0" collapsed="false">
      <c r="A19" s="24" t="s">
        <v>236</v>
      </c>
      <c r="B19" s="25" t="s">
        <v>12</v>
      </c>
      <c r="C19" s="25" t="s">
        <v>237</v>
      </c>
      <c r="D19" s="25" t="s">
        <v>238</v>
      </c>
      <c r="E19" s="25" t="s">
        <v>150</v>
      </c>
      <c r="F19" s="31" t="s">
        <v>73</v>
      </c>
      <c r="G19" s="25" t="s">
        <v>74</v>
      </c>
      <c r="H19" s="25" t="s">
        <v>75</v>
      </c>
      <c r="I19" s="25" t="s">
        <v>239</v>
      </c>
      <c r="J19" s="27" t="s">
        <v>69</v>
      </c>
      <c r="K19" s="25"/>
      <c r="L19" s="28"/>
      <c r="M19" s="25"/>
      <c r="N19" s="28"/>
      <c r="O19" s="25"/>
      <c r="P19" s="28"/>
      <c r="Q19" s="29"/>
      <c r="R19" s="28"/>
    </row>
    <row r="20" customFormat="false" ht="54.75" hidden="false" customHeight="true" outlineLevel="0" collapsed="false">
      <c r="A20" s="24" t="s">
        <v>240</v>
      </c>
      <c r="B20" s="30" t="s">
        <v>12</v>
      </c>
      <c r="C20" s="30" t="s">
        <v>237</v>
      </c>
      <c r="D20" s="30" t="s">
        <v>241</v>
      </c>
      <c r="E20" s="30" t="s">
        <v>242</v>
      </c>
      <c r="F20" s="26" t="s">
        <v>65</v>
      </c>
      <c r="G20" s="30" t="s">
        <v>66</v>
      </c>
      <c r="H20" s="30" t="s">
        <v>85</v>
      </c>
      <c r="I20" s="30" t="s">
        <v>243</v>
      </c>
      <c r="J20" s="27" t="s">
        <v>69</v>
      </c>
      <c r="K20" s="25"/>
      <c r="L20" s="28"/>
      <c r="M20" s="30"/>
      <c r="N20" s="28"/>
      <c r="O20" s="25"/>
      <c r="P20" s="28"/>
      <c r="Q20" s="29"/>
      <c r="R20" s="28"/>
    </row>
    <row r="21" customFormat="false" ht="54.75" hidden="false" customHeight="true" outlineLevel="0" collapsed="false">
      <c r="A21" s="24" t="s">
        <v>244</v>
      </c>
      <c r="B21" s="25" t="s">
        <v>12</v>
      </c>
      <c r="C21" s="25" t="s">
        <v>245</v>
      </c>
      <c r="D21" s="25" t="s">
        <v>246</v>
      </c>
      <c r="E21" s="25" t="s">
        <v>247</v>
      </c>
      <c r="F21" s="24" t="s">
        <v>90</v>
      </c>
      <c r="G21" s="25" t="s">
        <v>66</v>
      </c>
      <c r="H21" s="25" t="s">
        <v>85</v>
      </c>
      <c r="I21" s="25" t="s">
        <v>248</v>
      </c>
      <c r="J21" s="27" t="s">
        <v>69</v>
      </c>
      <c r="K21" s="25"/>
      <c r="L21" s="28"/>
      <c r="M21" s="25"/>
      <c r="N21" s="28"/>
      <c r="O21" s="25"/>
      <c r="P21" s="28"/>
      <c r="Q21" s="29"/>
      <c r="R21" s="28"/>
    </row>
    <row r="22" customFormat="false" ht="54.75" hidden="false" customHeight="true" outlineLevel="0" collapsed="false">
      <c r="A22" s="24" t="s">
        <v>249</v>
      </c>
      <c r="B22" s="30" t="s">
        <v>12</v>
      </c>
      <c r="C22" s="30" t="s">
        <v>245</v>
      </c>
      <c r="D22" s="30" t="s">
        <v>250</v>
      </c>
      <c r="E22" s="30" t="s">
        <v>251</v>
      </c>
      <c r="F22" s="24" t="s">
        <v>90</v>
      </c>
      <c r="G22" s="30" t="s">
        <v>66</v>
      </c>
      <c r="H22" s="30" t="s">
        <v>85</v>
      </c>
      <c r="I22" s="30" t="s">
        <v>252</v>
      </c>
      <c r="J22" s="27" t="s">
        <v>69</v>
      </c>
      <c r="K22" s="25"/>
      <c r="L22" s="28"/>
      <c r="M22" s="30"/>
      <c r="N22" s="28"/>
      <c r="O22" s="25"/>
      <c r="P22" s="28"/>
      <c r="Q22" s="29"/>
      <c r="R22" s="28"/>
    </row>
    <row r="23" customFormat="false" ht="54.75" hidden="false" customHeight="true" outlineLevel="0" collapsed="false">
      <c r="A23" s="24" t="s">
        <v>253</v>
      </c>
      <c r="B23" s="25" t="s">
        <v>12</v>
      </c>
      <c r="C23" s="25" t="s">
        <v>245</v>
      </c>
      <c r="D23" s="25" t="s">
        <v>254</v>
      </c>
      <c r="E23" s="25" t="s">
        <v>255</v>
      </c>
      <c r="F23" s="31" t="s">
        <v>73</v>
      </c>
      <c r="G23" s="25" t="s">
        <v>66</v>
      </c>
      <c r="H23" s="25" t="s">
        <v>85</v>
      </c>
      <c r="I23" s="25" t="s">
        <v>256</v>
      </c>
      <c r="J23" s="27" t="s">
        <v>69</v>
      </c>
      <c r="K23" s="25"/>
      <c r="L23" s="28"/>
      <c r="M23" s="25"/>
      <c r="N23" s="28"/>
      <c r="O23" s="25"/>
      <c r="P23" s="28"/>
      <c r="Q23" s="29"/>
      <c r="R23" s="28"/>
    </row>
    <row r="24" customFormat="false" ht="54.75" hidden="false" customHeight="true" outlineLevel="0" collapsed="false">
      <c r="A24" s="24" t="s">
        <v>257</v>
      </c>
      <c r="B24" s="30" t="s">
        <v>12</v>
      </c>
      <c r="C24" s="30" t="s">
        <v>258</v>
      </c>
      <c r="D24" s="30" t="s">
        <v>259</v>
      </c>
      <c r="E24" s="30" t="s">
        <v>260</v>
      </c>
      <c r="F24" s="26" t="s">
        <v>65</v>
      </c>
      <c r="G24" s="30" t="s">
        <v>74</v>
      </c>
      <c r="H24" s="30" t="s">
        <v>75</v>
      </c>
      <c r="I24" s="30" t="s">
        <v>261</v>
      </c>
      <c r="J24" s="27" t="s">
        <v>69</v>
      </c>
      <c r="K24" s="25"/>
      <c r="L24" s="28"/>
      <c r="M24" s="30"/>
      <c r="N24" s="28"/>
      <c r="O24" s="25"/>
      <c r="P24" s="28"/>
      <c r="Q24" s="29"/>
      <c r="R24" s="28"/>
    </row>
    <row r="25" customFormat="false" ht="54.75" hidden="false" customHeight="true" outlineLevel="0" collapsed="false">
      <c r="A25" s="24" t="s">
        <v>262</v>
      </c>
      <c r="B25" s="25" t="s">
        <v>12</v>
      </c>
      <c r="C25" s="25" t="s">
        <v>258</v>
      </c>
      <c r="D25" s="25" t="s">
        <v>263</v>
      </c>
      <c r="E25" s="25" t="s">
        <v>264</v>
      </c>
      <c r="F25" s="31" t="s">
        <v>73</v>
      </c>
      <c r="G25" s="25" t="s">
        <v>66</v>
      </c>
      <c r="H25" s="25" t="s">
        <v>85</v>
      </c>
      <c r="I25" s="25" t="s">
        <v>265</v>
      </c>
      <c r="J25" s="27" t="s">
        <v>69</v>
      </c>
      <c r="K25" s="25"/>
      <c r="L25" s="28"/>
      <c r="M25" s="25"/>
      <c r="N25" s="28"/>
      <c r="O25" s="25"/>
      <c r="P25" s="28"/>
      <c r="Q25" s="29"/>
      <c r="R25" s="28"/>
    </row>
  </sheetData>
  <mergeCells count="1">
    <mergeCell ref="A1:R1"/>
  </mergeCells>
  <conditionalFormatting sqref="J3:J25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"Non-Compliant"</formula>
    </cfRule>
    <cfRule type="cellIs" priority="4" operator="equal" aboveAverage="0" equalAverage="0" bottom="0" percent="0" rank="0" text="" dxfId="2">
      <formula>"Partial"</formula>
    </cfRule>
  </conditionalFormatting>
  <dataValidations count="2">
    <dataValidation allowBlank="true" errorStyle="stop" operator="between" showDropDown="false" showErrorMessage="false" showInputMessage="false" sqref="J3:J25" type="list">
      <formula1>"Compliant,Partial,Non-Compliant,N/A,Not Tested"</formula1>
      <formula2>0</formula2>
    </dataValidation>
    <dataValidation allowBlank="true" errorStyle="stop" operator="between" showDropDown="false" showErrorMessage="false" showInputMessage="false" sqref="Q3:Q25" type="list">
      <formula1>"Satisfactory,Needs Improvement,Unsatisfactory,N/A"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20"/>
    <col collapsed="false" customWidth="true" hidden="false" outlineLevel="0" max="18" min="17" style="0" width="14"/>
  </cols>
  <sheetData>
    <row r="1" customFormat="false" ht="27.75" hidden="false" customHeight="true" outlineLevel="0" collapsed="false">
      <c r="A1" s="22" t="s">
        <v>266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39.75" hidden="false" customHeight="true" outlineLevel="0" collapsed="false">
      <c r="A2" s="23" t="s">
        <v>44</v>
      </c>
      <c r="B2" s="23" t="s">
        <v>3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</row>
    <row r="3" customFormat="false" ht="54.75" hidden="false" customHeight="true" outlineLevel="0" collapsed="false">
      <c r="A3" s="24" t="s">
        <v>267</v>
      </c>
      <c r="B3" s="25" t="s">
        <v>13</v>
      </c>
      <c r="C3" s="25" t="s">
        <v>268</v>
      </c>
      <c r="D3" s="25" t="s">
        <v>269</v>
      </c>
      <c r="E3" s="25" t="s">
        <v>270</v>
      </c>
      <c r="F3" s="26" t="s">
        <v>65</v>
      </c>
      <c r="G3" s="25" t="s">
        <v>74</v>
      </c>
      <c r="H3" s="25" t="s">
        <v>75</v>
      </c>
      <c r="I3" s="25" t="s">
        <v>271</v>
      </c>
      <c r="J3" s="27" t="s">
        <v>69</v>
      </c>
      <c r="K3" s="25"/>
      <c r="L3" s="28"/>
      <c r="M3" s="25"/>
      <c r="N3" s="28"/>
      <c r="O3" s="25"/>
      <c r="P3" s="28"/>
      <c r="Q3" s="29"/>
      <c r="R3" s="28"/>
    </row>
    <row r="4" customFormat="false" ht="54.75" hidden="false" customHeight="true" outlineLevel="0" collapsed="false">
      <c r="A4" s="24" t="s">
        <v>272</v>
      </c>
      <c r="B4" s="30" t="s">
        <v>13</v>
      </c>
      <c r="C4" s="30" t="s">
        <v>268</v>
      </c>
      <c r="D4" s="30" t="s">
        <v>273</v>
      </c>
      <c r="E4" s="30" t="s">
        <v>274</v>
      </c>
      <c r="F4" s="31" t="s">
        <v>73</v>
      </c>
      <c r="G4" s="30" t="s">
        <v>66</v>
      </c>
      <c r="H4" s="30" t="s">
        <v>75</v>
      </c>
      <c r="I4" s="30" t="s">
        <v>275</v>
      </c>
      <c r="J4" s="27" t="s">
        <v>69</v>
      </c>
      <c r="K4" s="25"/>
      <c r="L4" s="28"/>
      <c r="M4" s="30"/>
      <c r="N4" s="28"/>
      <c r="O4" s="25"/>
      <c r="P4" s="28"/>
      <c r="Q4" s="29"/>
      <c r="R4" s="28"/>
    </row>
    <row r="5" customFormat="false" ht="54.75" hidden="false" customHeight="true" outlineLevel="0" collapsed="false">
      <c r="A5" s="24" t="s">
        <v>276</v>
      </c>
      <c r="B5" s="25" t="s">
        <v>13</v>
      </c>
      <c r="C5" s="25" t="s">
        <v>277</v>
      </c>
      <c r="D5" s="25" t="s">
        <v>278</v>
      </c>
      <c r="E5" s="25" t="s">
        <v>279</v>
      </c>
      <c r="F5" s="26" t="s">
        <v>65</v>
      </c>
      <c r="G5" s="25" t="s">
        <v>66</v>
      </c>
      <c r="H5" s="25" t="s">
        <v>280</v>
      </c>
      <c r="I5" s="25" t="s">
        <v>281</v>
      </c>
      <c r="J5" s="27" t="s">
        <v>69</v>
      </c>
      <c r="K5" s="25"/>
      <c r="L5" s="28"/>
      <c r="M5" s="25"/>
      <c r="N5" s="28"/>
      <c r="O5" s="25"/>
      <c r="P5" s="28"/>
      <c r="Q5" s="29"/>
      <c r="R5" s="28"/>
    </row>
    <row r="6" customFormat="false" ht="54.75" hidden="false" customHeight="true" outlineLevel="0" collapsed="false">
      <c r="A6" s="24" t="s">
        <v>282</v>
      </c>
      <c r="B6" s="30" t="s">
        <v>13</v>
      </c>
      <c r="C6" s="30" t="s">
        <v>277</v>
      </c>
      <c r="D6" s="30" t="s">
        <v>283</v>
      </c>
      <c r="E6" s="30" t="s">
        <v>284</v>
      </c>
      <c r="F6" s="26" t="s">
        <v>65</v>
      </c>
      <c r="G6" s="30" t="s">
        <v>66</v>
      </c>
      <c r="H6" s="30" t="s">
        <v>280</v>
      </c>
      <c r="I6" s="30" t="s">
        <v>285</v>
      </c>
      <c r="J6" s="27" t="s">
        <v>69</v>
      </c>
      <c r="K6" s="25"/>
      <c r="L6" s="28"/>
      <c r="M6" s="30"/>
      <c r="N6" s="28"/>
      <c r="O6" s="25"/>
      <c r="P6" s="28"/>
      <c r="Q6" s="29"/>
      <c r="R6" s="28"/>
    </row>
    <row r="7" customFormat="false" ht="54.75" hidden="false" customHeight="true" outlineLevel="0" collapsed="false">
      <c r="A7" s="24" t="s">
        <v>286</v>
      </c>
      <c r="B7" s="25" t="s">
        <v>13</v>
      </c>
      <c r="C7" s="25" t="s">
        <v>277</v>
      </c>
      <c r="D7" s="25" t="s">
        <v>287</v>
      </c>
      <c r="E7" s="25" t="s">
        <v>288</v>
      </c>
      <c r="F7" s="31" t="s">
        <v>73</v>
      </c>
      <c r="G7" s="25" t="s">
        <v>66</v>
      </c>
      <c r="H7" s="25" t="s">
        <v>172</v>
      </c>
      <c r="I7" s="25" t="s">
        <v>289</v>
      </c>
      <c r="J7" s="27" t="s">
        <v>69</v>
      </c>
      <c r="K7" s="25"/>
      <c r="L7" s="28"/>
      <c r="M7" s="25"/>
      <c r="N7" s="28"/>
      <c r="O7" s="25"/>
      <c r="P7" s="28"/>
      <c r="Q7" s="29"/>
      <c r="R7" s="28"/>
    </row>
    <row r="8" customFormat="false" ht="54.75" hidden="false" customHeight="true" outlineLevel="0" collapsed="false">
      <c r="A8" s="24" t="s">
        <v>290</v>
      </c>
      <c r="B8" s="30" t="s">
        <v>13</v>
      </c>
      <c r="C8" s="30" t="s">
        <v>277</v>
      </c>
      <c r="D8" s="30" t="s">
        <v>291</v>
      </c>
      <c r="E8" s="30" t="s">
        <v>292</v>
      </c>
      <c r="F8" s="31" t="s">
        <v>73</v>
      </c>
      <c r="G8" s="30" t="s">
        <v>66</v>
      </c>
      <c r="H8" s="30" t="s">
        <v>85</v>
      </c>
      <c r="I8" s="30" t="s">
        <v>293</v>
      </c>
      <c r="J8" s="27" t="s">
        <v>69</v>
      </c>
      <c r="K8" s="25"/>
      <c r="L8" s="28"/>
      <c r="M8" s="30"/>
      <c r="N8" s="28"/>
      <c r="O8" s="25"/>
      <c r="P8" s="28"/>
      <c r="Q8" s="29"/>
      <c r="R8" s="28"/>
    </row>
    <row r="9" customFormat="false" ht="54.75" hidden="false" customHeight="true" outlineLevel="0" collapsed="false">
      <c r="A9" s="24" t="s">
        <v>294</v>
      </c>
      <c r="B9" s="25" t="s">
        <v>13</v>
      </c>
      <c r="C9" s="25" t="s">
        <v>295</v>
      </c>
      <c r="D9" s="25" t="s">
        <v>296</v>
      </c>
      <c r="E9" s="25" t="s">
        <v>297</v>
      </c>
      <c r="F9" s="26" t="s">
        <v>65</v>
      </c>
      <c r="G9" s="25" t="s">
        <v>74</v>
      </c>
      <c r="H9" s="25" t="s">
        <v>67</v>
      </c>
      <c r="I9" s="25" t="s">
        <v>298</v>
      </c>
      <c r="J9" s="27" t="s">
        <v>69</v>
      </c>
      <c r="K9" s="25"/>
      <c r="L9" s="28"/>
      <c r="M9" s="25"/>
      <c r="N9" s="28"/>
      <c r="O9" s="25"/>
      <c r="P9" s="28"/>
      <c r="Q9" s="29"/>
      <c r="R9" s="28"/>
    </row>
    <row r="10" customFormat="false" ht="54.75" hidden="false" customHeight="true" outlineLevel="0" collapsed="false">
      <c r="A10" s="24" t="s">
        <v>299</v>
      </c>
      <c r="B10" s="30" t="s">
        <v>13</v>
      </c>
      <c r="C10" s="30" t="s">
        <v>295</v>
      </c>
      <c r="D10" s="30" t="s">
        <v>300</v>
      </c>
      <c r="E10" s="30" t="s">
        <v>301</v>
      </c>
      <c r="F10" s="26" t="s">
        <v>65</v>
      </c>
      <c r="G10" s="30" t="s">
        <v>74</v>
      </c>
      <c r="H10" s="30" t="s">
        <v>67</v>
      </c>
      <c r="I10" s="30" t="s">
        <v>302</v>
      </c>
      <c r="J10" s="27" t="s">
        <v>69</v>
      </c>
      <c r="K10" s="25"/>
      <c r="L10" s="28"/>
      <c r="M10" s="30"/>
      <c r="N10" s="28"/>
      <c r="O10" s="25"/>
      <c r="P10" s="28"/>
      <c r="Q10" s="29"/>
      <c r="R10" s="28"/>
    </row>
    <row r="11" customFormat="false" ht="54.75" hidden="false" customHeight="true" outlineLevel="0" collapsed="false">
      <c r="A11" s="24" t="s">
        <v>303</v>
      </c>
      <c r="B11" s="25" t="s">
        <v>13</v>
      </c>
      <c r="C11" s="25" t="s">
        <v>295</v>
      </c>
      <c r="D11" s="25" t="s">
        <v>304</v>
      </c>
      <c r="E11" s="25" t="s">
        <v>305</v>
      </c>
      <c r="F11" s="31" t="s">
        <v>73</v>
      </c>
      <c r="G11" s="25" t="s">
        <v>66</v>
      </c>
      <c r="H11" s="25" t="s">
        <v>67</v>
      </c>
      <c r="I11" s="25" t="s">
        <v>306</v>
      </c>
      <c r="J11" s="27" t="s">
        <v>69</v>
      </c>
      <c r="K11" s="25"/>
      <c r="L11" s="28"/>
      <c r="M11" s="25"/>
      <c r="N11" s="28"/>
      <c r="O11" s="25"/>
      <c r="P11" s="28"/>
      <c r="Q11" s="29"/>
      <c r="R11" s="28"/>
    </row>
    <row r="12" customFormat="false" ht="54.75" hidden="false" customHeight="true" outlineLevel="0" collapsed="false">
      <c r="A12" s="24" t="s">
        <v>307</v>
      </c>
      <c r="B12" s="30" t="s">
        <v>13</v>
      </c>
      <c r="C12" s="30" t="s">
        <v>308</v>
      </c>
      <c r="D12" s="30" t="s">
        <v>309</v>
      </c>
      <c r="E12" s="30" t="s">
        <v>310</v>
      </c>
      <c r="F12" s="31" t="s">
        <v>73</v>
      </c>
      <c r="G12" s="30" t="s">
        <v>66</v>
      </c>
      <c r="H12" s="30" t="s">
        <v>85</v>
      </c>
      <c r="I12" s="30" t="s">
        <v>311</v>
      </c>
      <c r="J12" s="27" t="s">
        <v>69</v>
      </c>
      <c r="K12" s="25"/>
      <c r="L12" s="28"/>
      <c r="M12" s="30"/>
      <c r="N12" s="28"/>
      <c r="O12" s="25"/>
      <c r="P12" s="28"/>
      <c r="Q12" s="29"/>
      <c r="R12" s="28"/>
    </row>
    <row r="13" customFormat="false" ht="54.75" hidden="false" customHeight="true" outlineLevel="0" collapsed="false">
      <c r="A13" s="24" t="s">
        <v>312</v>
      </c>
      <c r="B13" s="25" t="s">
        <v>13</v>
      </c>
      <c r="C13" s="25" t="s">
        <v>308</v>
      </c>
      <c r="D13" s="25" t="s">
        <v>313</v>
      </c>
      <c r="E13" s="25" t="s">
        <v>314</v>
      </c>
      <c r="F13" s="31" t="s">
        <v>73</v>
      </c>
      <c r="G13" s="25" t="s">
        <v>66</v>
      </c>
      <c r="H13" s="25" t="s">
        <v>85</v>
      </c>
      <c r="I13" s="25" t="s">
        <v>315</v>
      </c>
      <c r="J13" s="27" t="s">
        <v>69</v>
      </c>
      <c r="K13" s="25"/>
      <c r="L13" s="28"/>
      <c r="M13" s="25"/>
      <c r="N13" s="28"/>
      <c r="O13" s="25"/>
      <c r="P13" s="28"/>
      <c r="Q13" s="29"/>
      <c r="R13" s="28"/>
    </row>
    <row r="14" customFormat="false" ht="54.75" hidden="false" customHeight="true" outlineLevel="0" collapsed="false">
      <c r="A14" s="24" t="s">
        <v>316</v>
      </c>
      <c r="B14" s="30" t="s">
        <v>13</v>
      </c>
      <c r="C14" s="30" t="s">
        <v>317</v>
      </c>
      <c r="D14" s="30" t="s">
        <v>318</v>
      </c>
      <c r="E14" s="30" t="s">
        <v>319</v>
      </c>
      <c r="F14" s="31" t="s">
        <v>73</v>
      </c>
      <c r="G14" s="30" t="s">
        <v>66</v>
      </c>
      <c r="H14" s="30" t="s">
        <v>75</v>
      </c>
      <c r="I14" s="30" t="s">
        <v>320</v>
      </c>
      <c r="J14" s="27" t="s">
        <v>69</v>
      </c>
      <c r="K14" s="25"/>
      <c r="L14" s="28"/>
      <c r="M14" s="30"/>
      <c r="N14" s="28"/>
      <c r="O14" s="25"/>
      <c r="P14" s="28"/>
      <c r="Q14" s="29"/>
      <c r="R14" s="28"/>
    </row>
    <row r="15" customFormat="false" ht="54.75" hidden="false" customHeight="true" outlineLevel="0" collapsed="false">
      <c r="A15" s="24" t="s">
        <v>321</v>
      </c>
      <c r="B15" s="25" t="s">
        <v>13</v>
      </c>
      <c r="C15" s="25" t="s">
        <v>317</v>
      </c>
      <c r="D15" s="25" t="s">
        <v>322</v>
      </c>
      <c r="E15" s="25" t="s">
        <v>323</v>
      </c>
      <c r="F15" s="31" t="s">
        <v>73</v>
      </c>
      <c r="G15" s="25" t="s">
        <v>66</v>
      </c>
      <c r="H15" s="25" t="s">
        <v>324</v>
      </c>
      <c r="I15" s="25" t="s">
        <v>325</v>
      </c>
      <c r="J15" s="27" t="s">
        <v>69</v>
      </c>
      <c r="K15" s="25"/>
      <c r="L15" s="28"/>
      <c r="M15" s="25"/>
      <c r="N15" s="28"/>
      <c r="O15" s="25"/>
      <c r="P15" s="28"/>
      <c r="Q15" s="29"/>
      <c r="R15" s="28"/>
    </row>
    <row r="16" customFormat="false" ht="54.75" hidden="false" customHeight="true" outlineLevel="0" collapsed="false">
      <c r="A16" s="24" t="s">
        <v>326</v>
      </c>
      <c r="B16" s="30" t="s">
        <v>13</v>
      </c>
      <c r="C16" s="30" t="s">
        <v>327</v>
      </c>
      <c r="D16" s="30" t="s">
        <v>328</v>
      </c>
      <c r="E16" s="30" t="s">
        <v>329</v>
      </c>
      <c r="F16" s="24" t="s">
        <v>90</v>
      </c>
      <c r="G16" s="30" t="s">
        <v>66</v>
      </c>
      <c r="H16" s="30" t="s">
        <v>280</v>
      </c>
      <c r="I16" s="30" t="s">
        <v>330</v>
      </c>
      <c r="J16" s="27" t="s">
        <v>69</v>
      </c>
      <c r="K16" s="25"/>
      <c r="L16" s="28"/>
      <c r="M16" s="30"/>
      <c r="N16" s="28"/>
      <c r="O16" s="25"/>
      <c r="P16" s="28"/>
      <c r="Q16" s="29"/>
      <c r="R16" s="28"/>
    </row>
    <row r="17" customFormat="false" ht="54.75" hidden="false" customHeight="true" outlineLevel="0" collapsed="false">
      <c r="A17" s="24" t="s">
        <v>331</v>
      </c>
      <c r="B17" s="25" t="s">
        <v>13</v>
      </c>
      <c r="C17" s="25" t="s">
        <v>332</v>
      </c>
      <c r="D17" s="25" t="s">
        <v>333</v>
      </c>
      <c r="E17" s="25" t="s">
        <v>334</v>
      </c>
      <c r="F17" s="26" t="s">
        <v>65</v>
      </c>
      <c r="G17" s="25" t="s">
        <v>74</v>
      </c>
      <c r="H17" s="25" t="s">
        <v>67</v>
      </c>
      <c r="I17" s="25" t="s">
        <v>335</v>
      </c>
      <c r="J17" s="27" t="s">
        <v>69</v>
      </c>
      <c r="K17" s="25"/>
      <c r="L17" s="28"/>
      <c r="M17" s="25"/>
      <c r="N17" s="28"/>
      <c r="O17" s="25"/>
      <c r="P17" s="28"/>
      <c r="Q17" s="29"/>
      <c r="R17" s="28"/>
    </row>
    <row r="18" customFormat="false" ht="54.75" hidden="false" customHeight="true" outlineLevel="0" collapsed="false">
      <c r="A18" s="24" t="s">
        <v>336</v>
      </c>
      <c r="B18" s="30" t="s">
        <v>13</v>
      </c>
      <c r="C18" s="30" t="s">
        <v>332</v>
      </c>
      <c r="D18" s="30" t="s">
        <v>337</v>
      </c>
      <c r="E18" s="30" t="s">
        <v>338</v>
      </c>
      <c r="F18" s="31" t="s">
        <v>73</v>
      </c>
      <c r="G18" s="30" t="s">
        <v>66</v>
      </c>
      <c r="H18" s="30" t="s">
        <v>67</v>
      </c>
      <c r="I18" s="30" t="s">
        <v>339</v>
      </c>
      <c r="J18" s="27" t="s">
        <v>69</v>
      </c>
      <c r="K18" s="25"/>
      <c r="L18" s="28"/>
      <c r="M18" s="30"/>
      <c r="N18" s="28"/>
      <c r="O18" s="25"/>
      <c r="P18" s="28"/>
      <c r="Q18" s="29"/>
      <c r="R18" s="28"/>
    </row>
    <row r="19" customFormat="false" ht="54.75" hidden="false" customHeight="true" outlineLevel="0" collapsed="false">
      <c r="A19" s="24" t="s">
        <v>340</v>
      </c>
      <c r="B19" s="25" t="s">
        <v>13</v>
      </c>
      <c r="C19" s="25" t="s">
        <v>332</v>
      </c>
      <c r="D19" s="25" t="s">
        <v>341</v>
      </c>
      <c r="E19" s="25" t="s">
        <v>342</v>
      </c>
      <c r="F19" s="31" t="s">
        <v>73</v>
      </c>
      <c r="G19" s="25" t="s">
        <v>74</v>
      </c>
      <c r="H19" s="25" t="s">
        <v>85</v>
      </c>
      <c r="I19" s="25" t="s">
        <v>343</v>
      </c>
      <c r="J19" s="27" t="s">
        <v>69</v>
      </c>
      <c r="K19" s="25"/>
      <c r="L19" s="28"/>
      <c r="M19" s="25"/>
      <c r="N19" s="28"/>
      <c r="O19" s="25"/>
      <c r="P19" s="28"/>
      <c r="Q19" s="29"/>
      <c r="R19" s="28"/>
    </row>
    <row r="20" customFormat="false" ht="54.75" hidden="false" customHeight="true" outlineLevel="0" collapsed="false">
      <c r="A20" s="24" t="s">
        <v>344</v>
      </c>
      <c r="B20" s="30" t="s">
        <v>13</v>
      </c>
      <c r="C20" s="30" t="s">
        <v>332</v>
      </c>
      <c r="D20" s="30" t="s">
        <v>345</v>
      </c>
      <c r="E20" s="30" t="s">
        <v>346</v>
      </c>
      <c r="F20" s="24" t="s">
        <v>90</v>
      </c>
      <c r="G20" s="30" t="s">
        <v>74</v>
      </c>
      <c r="H20" s="30" t="s">
        <v>75</v>
      </c>
      <c r="I20" s="30" t="s">
        <v>347</v>
      </c>
      <c r="J20" s="27" t="s">
        <v>69</v>
      </c>
      <c r="K20" s="25"/>
      <c r="L20" s="28"/>
      <c r="M20" s="30"/>
      <c r="N20" s="28"/>
      <c r="O20" s="25"/>
      <c r="P20" s="28"/>
      <c r="Q20" s="29"/>
      <c r="R20" s="28"/>
    </row>
    <row r="21" customFormat="false" ht="54.75" hidden="false" customHeight="true" outlineLevel="0" collapsed="false">
      <c r="A21" s="24" t="s">
        <v>348</v>
      </c>
      <c r="B21" s="25" t="s">
        <v>13</v>
      </c>
      <c r="C21" s="25" t="s">
        <v>332</v>
      </c>
      <c r="D21" s="25" t="s">
        <v>349</v>
      </c>
      <c r="E21" s="25" t="s">
        <v>350</v>
      </c>
      <c r="F21" s="24" t="s">
        <v>90</v>
      </c>
      <c r="G21" s="25" t="s">
        <v>74</v>
      </c>
      <c r="H21" s="25" t="s">
        <v>75</v>
      </c>
      <c r="I21" s="25" t="s">
        <v>351</v>
      </c>
      <c r="J21" s="27" t="s">
        <v>69</v>
      </c>
      <c r="K21" s="25"/>
      <c r="L21" s="28"/>
      <c r="M21" s="25"/>
      <c r="N21" s="28"/>
      <c r="O21" s="25"/>
      <c r="P21" s="28"/>
      <c r="Q21" s="29"/>
      <c r="R21" s="28"/>
    </row>
    <row r="22" customFormat="false" ht="54.75" hidden="false" customHeight="true" outlineLevel="0" collapsed="false">
      <c r="A22" s="24" t="s">
        <v>352</v>
      </c>
      <c r="B22" s="30" t="s">
        <v>13</v>
      </c>
      <c r="C22" s="30" t="s">
        <v>353</v>
      </c>
      <c r="D22" s="30" t="s">
        <v>354</v>
      </c>
      <c r="E22" s="30" t="s">
        <v>355</v>
      </c>
      <c r="F22" s="26" t="s">
        <v>65</v>
      </c>
      <c r="G22" s="30" t="s">
        <v>74</v>
      </c>
      <c r="H22" s="30" t="s">
        <v>75</v>
      </c>
      <c r="I22" s="30" t="s">
        <v>356</v>
      </c>
      <c r="J22" s="27" t="s">
        <v>69</v>
      </c>
      <c r="K22" s="25"/>
      <c r="L22" s="28"/>
      <c r="M22" s="30"/>
      <c r="N22" s="28"/>
      <c r="O22" s="25"/>
      <c r="P22" s="28"/>
      <c r="Q22" s="29"/>
      <c r="R22" s="28"/>
    </row>
    <row r="23" customFormat="false" ht="54.75" hidden="false" customHeight="true" outlineLevel="0" collapsed="false">
      <c r="A23" s="24" t="s">
        <v>357</v>
      </c>
      <c r="B23" s="25" t="s">
        <v>13</v>
      </c>
      <c r="C23" s="25" t="s">
        <v>353</v>
      </c>
      <c r="D23" s="25" t="s">
        <v>358</v>
      </c>
      <c r="E23" s="25" t="s">
        <v>359</v>
      </c>
      <c r="F23" s="26" t="s">
        <v>65</v>
      </c>
      <c r="G23" s="25" t="s">
        <v>74</v>
      </c>
      <c r="H23" s="25" t="s">
        <v>75</v>
      </c>
      <c r="I23" s="25" t="s">
        <v>360</v>
      </c>
      <c r="J23" s="27" t="s">
        <v>69</v>
      </c>
      <c r="K23" s="25"/>
      <c r="L23" s="28"/>
      <c r="M23" s="25"/>
      <c r="N23" s="28"/>
      <c r="O23" s="25"/>
      <c r="P23" s="28"/>
      <c r="Q23" s="29"/>
      <c r="R23" s="28"/>
    </row>
    <row r="24" customFormat="false" ht="54.75" hidden="false" customHeight="true" outlineLevel="0" collapsed="false">
      <c r="A24" s="24" t="s">
        <v>361</v>
      </c>
      <c r="B24" s="30" t="s">
        <v>13</v>
      </c>
      <c r="C24" s="30" t="s">
        <v>353</v>
      </c>
      <c r="D24" s="30" t="s">
        <v>362</v>
      </c>
      <c r="E24" s="30" t="s">
        <v>363</v>
      </c>
      <c r="F24" s="26" t="s">
        <v>65</v>
      </c>
      <c r="G24" s="30" t="s">
        <v>66</v>
      </c>
      <c r="H24" s="30" t="s">
        <v>161</v>
      </c>
      <c r="I24" s="30" t="s">
        <v>364</v>
      </c>
      <c r="J24" s="27" t="s">
        <v>69</v>
      </c>
      <c r="K24" s="25"/>
      <c r="L24" s="28"/>
      <c r="M24" s="30"/>
      <c r="N24" s="28"/>
      <c r="O24" s="25"/>
      <c r="P24" s="28"/>
      <c r="Q24" s="29"/>
      <c r="R24" s="28"/>
    </row>
    <row r="25" customFormat="false" ht="54.75" hidden="false" customHeight="true" outlineLevel="0" collapsed="false">
      <c r="A25" s="24" t="s">
        <v>365</v>
      </c>
      <c r="B25" s="25" t="s">
        <v>13</v>
      </c>
      <c r="C25" s="25" t="s">
        <v>353</v>
      </c>
      <c r="D25" s="25" t="s">
        <v>366</v>
      </c>
      <c r="E25" s="25" t="s">
        <v>367</v>
      </c>
      <c r="F25" s="31" t="s">
        <v>73</v>
      </c>
      <c r="G25" s="25" t="s">
        <v>74</v>
      </c>
      <c r="H25" s="25" t="s">
        <v>75</v>
      </c>
      <c r="I25" s="25" t="s">
        <v>368</v>
      </c>
      <c r="J25" s="27" t="s">
        <v>69</v>
      </c>
      <c r="K25" s="25"/>
      <c r="L25" s="28"/>
      <c r="M25" s="25"/>
      <c r="N25" s="28"/>
      <c r="O25" s="25"/>
      <c r="P25" s="28"/>
      <c r="Q25" s="29"/>
      <c r="R25" s="28"/>
    </row>
    <row r="26" customFormat="false" ht="54.75" hidden="false" customHeight="true" outlineLevel="0" collapsed="false">
      <c r="A26" s="24" t="s">
        <v>369</v>
      </c>
      <c r="B26" s="30" t="s">
        <v>13</v>
      </c>
      <c r="C26" s="30" t="s">
        <v>370</v>
      </c>
      <c r="D26" s="30" t="s">
        <v>371</v>
      </c>
      <c r="E26" s="30" t="s">
        <v>372</v>
      </c>
      <c r="F26" s="31" t="s">
        <v>73</v>
      </c>
      <c r="G26" s="30" t="s">
        <v>74</v>
      </c>
      <c r="H26" s="30" t="s">
        <v>67</v>
      </c>
      <c r="I26" s="30" t="s">
        <v>373</v>
      </c>
      <c r="J26" s="27" t="s">
        <v>69</v>
      </c>
      <c r="K26" s="25"/>
      <c r="L26" s="28"/>
      <c r="M26" s="30"/>
      <c r="N26" s="28"/>
      <c r="O26" s="25"/>
      <c r="P26" s="28"/>
      <c r="Q26" s="29"/>
      <c r="R26" s="28"/>
    </row>
    <row r="27" customFormat="false" ht="54.75" hidden="false" customHeight="true" outlineLevel="0" collapsed="false">
      <c r="A27" s="24" t="s">
        <v>374</v>
      </c>
      <c r="B27" s="25" t="s">
        <v>13</v>
      </c>
      <c r="C27" s="25" t="s">
        <v>370</v>
      </c>
      <c r="D27" s="25" t="s">
        <v>375</v>
      </c>
      <c r="E27" s="25" t="s">
        <v>376</v>
      </c>
      <c r="F27" s="31" t="s">
        <v>73</v>
      </c>
      <c r="G27" s="25" t="s">
        <v>74</v>
      </c>
      <c r="H27" s="25" t="s">
        <v>172</v>
      </c>
      <c r="I27" s="25" t="s">
        <v>377</v>
      </c>
      <c r="J27" s="27" t="s">
        <v>69</v>
      </c>
      <c r="K27" s="25"/>
      <c r="L27" s="28"/>
      <c r="M27" s="25"/>
      <c r="N27" s="28"/>
      <c r="O27" s="25"/>
      <c r="P27" s="28"/>
      <c r="Q27" s="29"/>
      <c r="R27" s="28"/>
    </row>
    <row r="28" customFormat="false" ht="54.75" hidden="false" customHeight="true" outlineLevel="0" collapsed="false">
      <c r="A28" s="24" t="s">
        <v>378</v>
      </c>
      <c r="B28" s="30" t="s">
        <v>13</v>
      </c>
      <c r="C28" s="30" t="s">
        <v>379</v>
      </c>
      <c r="D28" s="30" t="s">
        <v>380</v>
      </c>
      <c r="E28" s="30" t="s">
        <v>381</v>
      </c>
      <c r="F28" s="31" t="s">
        <v>73</v>
      </c>
      <c r="G28" s="30" t="s">
        <v>74</v>
      </c>
      <c r="H28" s="30" t="s">
        <v>67</v>
      </c>
      <c r="I28" s="30" t="s">
        <v>382</v>
      </c>
      <c r="J28" s="27" t="s">
        <v>69</v>
      </c>
      <c r="K28" s="25"/>
      <c r="L28" s="28"/>
      <c r="M28" s="30"/>
      <c r="N28" s="28"/>
      <c r="O28" s="25"/>
      <c r="P28" s="28"/>
      <c r="Q28" s="29"/>
      <c r="R28" s="28"/>
    </row>
    <row r="29" customFormat="false" ht="54.75" hidden="false" customHeight="true" outlineLevel="0" collapsed="false">
      <c r="A29" s="24" t="s">
        <v>383</v>
      </c>
      <c r="B29" s="25" t="s">
        <v>13</v>
      </c>
      <c r="C29" s="25" t="s">
        <v>379</v>
      </c>
      <c r="D29" s="25" t="s">
        <v>384</v>
      </c>
      <c r="E29" s="25" t="s">
        <v>385</v>
      </c>
      <c r="F29" s="24" t="s">
        <v>90</v>
      </c>
      <c r="G29" s="25" t="s">
        <v>74</v>
      </c>
      <c r="H29" s="25" t="s">
        <v>67</v>
      </c>
      <c r="I29" s="25" t="s">
        <v>386</v>
      </c>
      <c r="J29" s="27" t="s">
        <v>69</v>
      </c>
      <c r="K29" s="25"/>
      <c r="L29" s="28"/>
      <c r="M29" s="25"/>
      <c r="N29" s="28"/>
      <c r="O29" s="25"/>
      <c r="P29" s="28"/>
      <c r="Q29" s="29"/>
      <c r="R29" s="28"/>
    </row>
    <row r="30" customFormat="false" ht="54.75" hidden="false" customHeight="true" outlineLevel="0" collapsed="false">
      <c r="A30" s="24" t="s">
        <v>387</v>
      </c>
      <c r="B30" s="30" t="s">
        <v>13</v>
      </c>
      <c r="C30" s="30" t="s">
        <v>388</v>
      </c>
      <c r="D30" s="30" t="s">
        <v>389</v>
      </c>
      <c r="E30" s="30" t="s">
        <v>390</v>
      </c>
      <c r="F30" s="31" t="s">
        <v>73</v>
      </c>
      <c r="G30" s="30" t="s">
        <v>74</v>
      </c>
      <c r="H30" s="30" t="s">
        <v>67</v>
      </c>
      <c r="I30" s="30" t="s">
        <v>391</v>
      </c>
      <c r="J30" s="27" t="s">
        <v>69</v>
      </c>
      <c r="K30" s="25"/>
      <c r="L30" s="28"/>
      <c r="M30" s="30"/>
      <c r="N30" s="28"/>
      <c r="O30" s="25"/>
      <c r="P30" s="28"/>
      <c r="Q30" s="29"/>
      <c r="R30" s="28"/>
    </row>
    <row r="31" customFormat="false" ht="54.75" hidden="false" customHeight="true" outlineLevel="0" collapsed="false">
      <c r="A31" s="24" t="s">
        <v>392</v>
      </c>
      <c r="B31" s="25" t="s">
        <v>13</v>
      </c>
      <c r="C31" s="25" t="s">
        <v>388</v>
      </c>
      <c r="D31" s="25" t="s">
        <v>393</v>
      </c>
      <c r="E31" s="25" t="s">
        <v>198</v>
      </c>
      <c r="F31" s="31" t="s">
        <v>73</v>
      </c>
      <c r="G31" s="25" t="s">
        <v>74</v>
      </c>
      <c r="H31" s="25" t="s">
        <v>75</v>
      </c>
      <c r="I31" s="25" t="s">
        <v>394</v>
      </c>
      <c r="J31" s="27" t="s">
        <v>69</v>
      </c>
      <c r="K31" s="25"/>
      <c r="L31" s="28"/>
      <c r="M31" s="25"/>
      <c r="N31" s="28"/>
      <c r="O31" s="25"/>
      <c r="P31" s="28"/>
      <c r="Q31" s="29"/>
      <c r="R31" s="28"/>
    </row>
    <row r="32" customFormat="false" ht="54.75" hidden="false" customHeight="true" outlineLevel="0" collapsed="false">
      <c r="A32" s="24" t="s">
        <v>395</v>
      </c>
      <c r="B32" s="30" t="s">
        <v>13</v>
      </c>
      <c r="C32" s="30" t="s">
        <v>396</v>
      </c>
      <c r="D32" s="30" t="s">
        <v>397</v>
      </c>
      <c r="E32" s="30" t="s">
        <v>398</v>
      </c>
      <c r="F32" s="31" t="s">
        <v>73</v>
      </c>
      <c r="G32" s="30" t="s">
        <v>66</v>
      </c>
      <c r="H32" s="30" t="s">
        <v>75</v>
      </c>
      <c r="I32" s="30" t="s">
        <v>399</v>
      </c>
      <c r="J32" s="27" t="s">
        <v>69</v>
      </c>
      <c r="K32" s="25"/>
      <c r="L32" s="28"/>
      <c r="M32" s="30"/>
      <c r="N32" s="28"/>
      <c r="O32" s="25"/>
      <c r="P32" s="28"/>
      <c r="Q32" s="29"/>
      <c r="R32" s="28"/>
    </row>
    <row r="33" customFormat="false" ht="54.75" hidden="false" customHeight="true" outlineLevel="0" collapsed="false">
      <c r="A33" s="24" t="s">
        <v>400</v>
      </c>
      <c r="B33" s="25" t="s">
        <v>13</v>
      </c>
      <c r="C33" s="25" t="s">
        <v>401</v>
      </c>
      <c r="D33" s="25" t="s">
        <v>402</v>
      </c>
      <c r="E33" s="25" t="s">
        <v>150</v>
      </c>
      <c r="F33" s="24" t="s">
        <v>90</v>
      </c>
      <c r="G33" s="25" t="s">
        <v>66</v>
      </c>
      <c r="H33" s="25" t="s">
        <v>75</v>
      </c>
      <c r="I33" s="25" t="s">
        <v>403</v>
      </c>
      <c r="J33" s="27" t="s">
        <v>69</v>
      </c>
      <c r="K33" s="25"/>
      <c r="L33" s="28"/>
      <c r="M33" s="25"/>
      <c r="N33" s="28"/>
      <c r="O33" s="25"/>
      <c r="P33" s="28"/>
      <c r="Q33" s="29"/>
      <c r="R33" s="28"/>
    </row>
  </sheetData>
  <mergeCells count="1">
    <mergeCell ref="A1:R1"/>
  </mergeCells>
  <conditionalFormatting sqref="J3:J33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"Non-Compliant"</formula>
    </cfRule>
    <cfRule type="cellIs" priority="4" operator="equal" aboveAverage="0" equalAverage="0" bottom="0" percent="0" rank="0" text="" dxfId="2">
      <formula>"Partial"</formula>
    </cfRule>
  </conditionalFormatting>
  <dataValidations count="2">
    <dataValidation allowBlank="true" errorStyle="stop" operator="between" showDropDown="false" showErrorMessage="false" showInputMessage="false" sqref="J3:J33" type="list">
      <formula1>"Compliant,Partial,Non-Compliant,N/A,Not Tested"</formula1>
      <formula2>0</formula2>
    </dataValidation>
    <dataValidation allowBlank="true" errorStyle="stop" operator="between" showDropDown="false" showErrorMessage="false" showInputMessage="false" sqref="Q3:Q33" type="list">
      <formula1>"Satisfactory,Needs Improvement,Unsatisfactory,N/A"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20"/>
    <col collapsed="false" customWidth="true" hidden="false" outlineLevel="0" max="18" min="17" style="0" width="14"/>
  </cols>
  <sheetData>
    <row r="1" customFormat="false" ht="27.75" hidden="false" customHeight="true" outlineLevel="0" collapsed="false">
      <c r="A1" s="22" t="s">
        <v>404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39.75" hidden="false" customHeight="true" outlineLevel="0" collapsed="false">
      <c r="A2" s="23" t="s">
        <v>44</v>
      </c>
      <c r="B2" s="23" t="s">
        <v>3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</row>
    <row r="3" customFormat="false" ht="54.75" hidden="false" customHeight="true" outlineLevel="0" collapsed="false">
      <c r="A3" s="24" t="s">
        <v>405</v>
      </c>
      <c r="B3" s="25" t="s">
        <v>14</v>
      </c>
      <c r="C3" s="25" t="s">
        <v>406</v>
      </c>
      <c r="D3" s="25" t="s">
        <v>407</v>
      </c>
      <c r="E3" s="25" t="s">
        <v>408</v>
      </c>
      <c r="F3" s="26" t="s">
        <v>65</v>
      </c>
      <c r="G3" s="25" t="s">
        <v>74</v>
      </c>
      <c r="H3" s="25" t="s">
        <v>75</v>
      </c>
      <c r="I3" s="25" t="s">
        <v>409</v>
      </c>
      <c r="J3" s="27" t="s">
        <v>69</v>
      </c>
      <c r="K3" s="25"/>
      <c r="L3" s="28"/>
      <c r="M3" s="25"/>
      <c r="N3" s="28"/>
      <c r="O3" s="25"/>
      <c r="P3" s="28"/>
      <c r="Q3" s="29"/>
      <c r="R3" s="28"/>
    </row>
    <row r="4" customFormat="false" ht="54.75" hidden="false" customHeight="true" outlineLevel="0" collapsed="false">
      <c r="A4" s="24" t="s">
        <v>410</v>
      </c>
      <c r="B4" s="30" t="s">
        <v>14</v>
      </c>
      <c r="C4" s="30" t="s">
        <v>411</v>
      </c>
      <c r="D4" s="30" t="s">
        <v>412</v>
      </c>
      <c r="E4" s="30" t="s">
        <v>413</v>
      </c>
      <c r="F4" s="26" t="s">
        <v>65</v>
      </c>
      <c r="G4" s="30" t="s">
        <v>66</v>
      </c>
      <c r="H4" s="30" t="s">
        <v>75</v>
      </c>
      <c r="I4" s="30" t="s">
        <v>414</v>
      </c>
      <c r="J4" s="27" t="s">
        <v>69</v>
      </c>
      <c r="K4" s="25"/>
      <c r="L4" s="28"/>
      <c r="M4" s="30"/>
      <c r="N4" s="28"/>
      <c r="O4" s="25"/>
      <c r="P4" s="28"/>
      <c r="Q4" s="29"/>
      <c r="R4" s="28"/>
    </row>
    <row r="5" customFormat="false" ht="54.75" hidden="false" customHeight="true" outlineLevel="0" collapsed="false">
      <c r="A5" s="24" t="s">
        <v>415</v>
      </c>
      <c r="B5" s="25" t="s">
        <v>14</v>
      </c>
      <c r="C5" s="25" t="s">
        <v>416</v>
      </c>
      <c r="D5" s="25" t="s">
        <v>417</v>
      </c>
      <c r="E5" s="25" t="s">
        <v>418</v>
      </c>
      <c r="F5" s="26" t="s">
        <v>65</v>
      </c>
      <c r="G5" s="25" t="s">
        <v>66</v>
      </c>
      <c r="H5" s="25" t="s">
        <v>172</v>
      </c>
      <c r="I5" s="25" t="s">
        <v>419</v>
      </c>
      <c r="J5" s="27" t="s">
        <v>69</v>
      </c>
      <c r="K5" s="25"/>
      <c r="L5" s="28"/>
      <c r="M5" s="25"/>
      <c r="N5" s="28"/>
      <c r="O5" s="25"/>
      <c r="P5" s="28"/>
      <c r="Q5" s="29"/>
      <c r="R5" s="28"/>
    </row>
    <row r="6" customFormat="false" ht="54.75" hidden="false" customHeight="true" outlineLevel="0" collapsed="false">
      <c r="A6" s="24" t="s">
        <v>420</v>
      </c>
      <c r="B6" s="30" t="s">
        <v>14</v>
      </c>
      <c r="C6" s="30" t="s">
        <v>416</v>
      </c>
      <c r="D6" s="30" t="s">
        <v>421</v>
      </c>
      <c r="E6" s="30" t="s">
        <v>422</v>
      </c>
      <c r="F6" s="26" t="s">
        <v>65</v>
      </c>
      <c r="G6" s="30" t="s">
        <v>74</v>
      </c>
      <c r="H6" s="30" t="s">
        <v>172</v>
      </c>
      <c r="I6" s="30" t="s">
        <v>423</v>
      </c>
      <c r="J6" s="27" t="s">
        <v>69</v>
      </c>
      <c r="K6" s="25"/>
      <c r="L6" s="28"/>
      <c r="M6" s="30"/>
      <c r="N6" s="28"/>
      <c r="O6" s="25"/>
      <c r="P6" s="28"/>
      <c r="Q6" s="29"/>
      <c r="R6" s="28"/>
    </row>
    <row r="7" customFormat="false" ht="54.75" hidden="false" customHeight="true" outlineLevel="0" collapsed="false">
      <c r="A7" s="24" t="s">
        <v>424</v>
      </c>
      <c r="B7" s="25" t="s">
        <v>14</v>
      </c>
      <c r="C7" s="25" t="s">
        <v>425</v>
      </c>
      <c r="D7" s="25" t="s">
        <v>426</v>
      </c>
      <c r="E7" s="25" t="s">
        <v>427</v>
      </c>
      <c r="F7" s="26" t="s">
        <v>65</v>
      </c>
      <c r="G7" s="25" t="s">
        <v>66</v>
      </c>
      <c r="H7" s="25" t="s">
        <v>172</v>
      </c>
      <c r="I7" s="25" t="s">
        <v>428</v>
      </c>
      <c r="J7" s="27" t="s">
        <v>69</v>
      </c>
      <c r="K7" s="25"/>
      <c r="L7" s="28"/>
      <c r="M7" s="25"/>
      <c r="N7" s="28"/>
      <c r="O7" s="25"/>
      <c r="P7" s="28"/>
      <c r="Q7" s="29"/>
      <c r="R7" s="28"/>
    </row>
    <row r="8" customFormat="false" ht="54.75" hidden="false" customHeight="true" outlineLevel="0" collapsed="false">
      <c r="A8" s="24" t="s">
        <v>429</v>
      </c>
      <c r="B8" s="30" t="s">
        <v>14</v>
      </c>
      <c r="C8" s="30" t="s">
        <v>425</v>
      </c>
      <c r="D8" s="30" t="s">
        <v>430</v>
      </c>
      <c r="E8" s="30" t="s">
        <v>431</v>
      </c>
      <c r="F8" s="31" t="s">
        <v>73</v>
      </c>
      <c r="G8" s="30" t="s">
        <v>66</v>
      </c>
      <c r="H8" s="30" t="s">
        <v>75</v>
      </c>
      <c r="I8" s="30" t="s">
        <v>432</v>
      </c>
      <c r="J8" s="27" t="s">
        <v>69</v>
      </c>
      <c r="K8" s="25"/>
      <c r="L8" s="28"/>
      <c r="M8" s="30"/>
      <c r="N8" s="28"/>
      <c r="O8" s="25"/>
      <c r="P8" s="28"/>
      <c r="Q8" s="29"/>
      <c r="R8" s="28"/>
    </row>
    <row r="9" customFormat="false" ht="54.75" hidden="false" customHeight="true" outlineLevel="0" collapsed="false">
      <c r="A9" s="24" t="s">
        <v>433</v>
      </c>
      <c r="B9" s="25" t="s">
        <v>14</v>
      </c>
      <c r="C9" s="25" t="s">
        <v>425</v>
      </c>
      <c r="D9" s="25" t="s">
        <v>434</v>
      </c>
      <c r="E9" s="25" t="s">
        <v>435</v>
      </c>
      <c r="F9" s="31" t="s">
        <v>73</v>
      </c>
      <c r="G9" s="25" t="s">
        <v>66</v>
      </c>
      <c r="H9" s="25" t="s">
        <v>75</v>
      </c>
      <c r="I9" s="25" t="s">
        <v>436</v>
      </c>
      <c r="J9" s="27" t="s">
        <v>69</v>
      </c>
      <c r="K9" s="25"/>
      <c r="L9" s="28"/>
      <c r="M9" s="25"/>
      <c r="N9" s="28"/>
      <c r="O9" s="25"/>
      <c r="P9" s="28"/>
      <c r="Q9" s="29"/>
      <c r="R9" s="28"/>
    </row>
    <row r="10" customFormat="false" ht="54.75" hidden="false" customHeight="true" outlineLevel="0" collapsed="false">
      <c r="A10" s="24" t="s">
        <v>437</v>
      </c>
      <c r="B10" s="30" t="s">
        <v>14</v>
      </c>
      <c r="C10" s="30" t="s">
        <v>438</v>
      </c>
      <c r="D10" s="30" t="s">
        <v>439</v>
      </c>
      <c r="E10" s="30" t="s">
        <v>440</v>
      </c>
      <c r="F10" s="31" t="s">
        <v>73</v>
      </c>
      <c r="G10" s="30" t="s">
        <v>74</v>
      </c>
      <c r="H10" s="30" t="s">
        <v>85</v>
      </c>
      <c r="I10" s="30" t="s">
        <v>441</v>
      </c>
      <c r="J10" s="27" t="s">
        <v>69</v>
      </c>
      <c r="K10" s="25"/>
      <c r="L10" s="28"/>
      <c r="M10" s="30"/>
      <c r="N10" s="28"/>
      <c r="O10" s="25"/>
      <c r="P10" s="28"/>
      <c r="Q10" s="29"/>
      <c r="R10" s="28"/>
    </row>
    <row r="11" customFormat="false" ht="54.75" hidden="false" customHeight="true" outlineLevel="0" collapsed="false">
      <c r="A11" s="24" t="s">
        <v>442</v>
      </c>
      <c r="B11" s="25" t="s">
        <v>14</v>
      </c>
      <c r="C11" s="25" t="s">
        <v>438</v>
      </c>
      <c r="D11" s="25" t="s">
        <v>443</v>
      </c>
      <c r="E11" s="25" t="s">
        <v>444</v>
      </c>
      <c r="F11" s="31" t="s">
        <v>73</v>
      </c>
      <c r="G11" s="25" t="s">
        <v>66</v>
      </c>
      <c r="H11" s="25" t="s">
        <v>67</v>
      </c>
      <c r="I11" s="25" t="s">
        <v>445</v>
      </c>
      <c r="J11" s="27" t="s">
        <v>69</v>
      </c>
      <c r="K11" s="25"/>
      <c r="L11" s="28"/>
      <c r="M11" s="25"/>
      <c r="N11" s="28"/>
      <c r="O11" s="25"/>
      <c r="P11" s="28"/>
      <c r="Q11" s="29"/>
      <c r="R11" s="28"/>
    </row>
    <row r="12" customFormat="false" ht="54.75" hidden="false" customHeight="true" outlineLevel="0" collapsed="false">
      <c r="A12" s="24" t="s">
        <v>446</v>
      </c>
      <c r="B12" s="30" t="s">
        <v>14</v>
      </c>
      <c r="C12" s="30" t="s">
        <v>438</v>
      </c>
      <c r="D12" s="30" t="s">
        <v>447</v>
      </c>
      <c r="E12" s="30" t="s">
        <v>448</v>
      </c>
      <c r="F12" s="31" t="s">
        <v>73</v>
      </c>
      <c r="G12" s="30" t="s">
        <v>66</v>
      </c>
      <c r="H12" s="30" t="s">
        <v>172</v>
      </c>
      <c r="I12" s="30" t="s">
        <v>449</v>
      </c>
      <c r="J12" s="27" t="s">
        <v>69</v>
      </c>
      <c r="K12" s="25"/>
      <c r="L12" s="28"/>
      <c r="M12" s="30"/>
      <c r="N12" s="28"/>
      <c r="O12" s="25"/>
      <c r="P12" s="28"/>
      <c r="Q12" s="29"/>
      <c r="R12" s="28"/>
    </row>
    <row r="13" customFormat="false" ht="54.75" hidden="false" customHeight="true" outlineLevel="0" collapsed="false">
      <c r="A13" s="24" t="s">
        <v>450</v>
      </c>
      <c r="B13" s="25" t="s">
        <v>14</v>
      </c>
      <c r="C13" s="25" t="s">
        <v>438</v>
      </c>
      <c r="D13" s="25" t="s">
        <v>451</v>
      </c>
      <c r="E13" s="25" t="s">
        <v>150</v>
      </c>
      <c r="F13" s="26" t="s">
        <v>65</v>
      </c>
      <c r="G13" s="25" t="s">
        <v>74</v>
      </c>
      <c r="H13" s="25" t="s">
        <v>67</v>
      </c>
      <c r="I13" s="25" t="s">
        <v>452</v>
      </c>
      <c r="J13" s="27" t="s">
        <v>69</v>
      </c>
      <c r="K13" s="25"/>
      <c r="L13" s="28"/>
      <c r="M13" s="25"/>
      <c r="N13" s="28"/>
      <c r="O13" s="25"/>
      <c r="P13" s="28"/>
      <c r="Q13" s="29"/>
      <c r="R13" s="28"/>
    </row>
    <row r="14" customFormat="false" ht="54.75" hidden="false" customHeight="true" outlineLevel="0" collapsed="false">
      <c r="A14" s="24" t="s">
        <v>453</v>
      </c>
      <c r="B14" s="30" t="s">
        <v>14</v>
      </c>
      <c r="C14" s="30" t="s">
        <v>454</v>
      </c>
      <c r="D14" s="30" t="s">
        <v>455</v>
      </c>
      <c r="E14" s="30" t="s">
        <v>456</v>
      </c>
      <c r="F14" s="31" t="s">
        <v>73</v>
      </c>
      <c r="G14" s="30" t="s">
        <v>74</v>
      </c>
      <c r="H14" s="30" t="s">
        <v>172</v>
      </c>
      <c r="I14" s="30" t="s">
        <v>457</v>
      </c>
      <c r="J14" s="27" t="s">
        <v>69</v>
      </c>
      <c r="K14" s="25"/>
      <c r="L14" s="28"/>
      <c r="M14" s="30"/>
      <c r="N14" s="28"/>
      <c r="O14" s="25"/>
      <c r="P14" s="28"/>
      <c r="Q14" s="29"/>
      <c r="R14" s="28"/>
    </row>
    <row r="15" customFormat="false" ht="54.75" hidden="false" customHeight="true" outlineLevel="0" collapsed="false">
      <c r="A15" s="24" t="s">
        <v>458</v>
      </c>
      <c r="B15" s="25" t="s">
        <v>14</v>
      </c>
      <c r="C15" s="25" t="s">
        <v>459</v>
      </c>
      <c r="D15" s="25" t="s">
        <v>460</v>
      </c>
      <c r="E15" s="25" t="s">
        <v>461</v>
      </c>
      <c r="F15" s="31" t="s">
        <v>73</v>
      </c>
      <c r="G15" s="25" t="s">
        <v>74</v>
      </c>
      <c r="H15" s="25" t="s">
        <v>75</v>
      </c>
      <c r="I15" s="25" t="s">
        <v>462</v>
      </c>
      <c r="J15" s="27" t="s">
        <v>69</v>
      </c>
      <c r="K15" s="25"/>
      <c r="L15" s="28"/>
      <c r="M15" s="25"/>
      <c r="N15" s="28"/>
      <c r="O15" s="25"/>
      <c r="P15" s="28"/>
      <c r="Q15" s="29"/>
      <c r="R15" s="28"/>
    </row>
    <row r="16" customFormat="false" ht="54.75" hidden="false" customHeight="true" outlineLevel="0" collapsed="false">
      <c r="A16" s="24" t="s">
        <v>463</v>
      </c>
      <c r="B16" s="30" t="s">
        <v>14</v>
      </c>
      <c r="C16" s="30" t="s">
        <v>464</v>
      </c>
      <c r="D16" s="30" t="s">
        <v>465</v>
      </c>
      <c r="E16" s="30" t="s">
        <v>466</v>
      </c>
      <c r="F16" s="24" t="s">
        <v>90</v>
      </c>
      <c r="G16" s="30" t="s">
        <v>74</v>
      </c>
      <c r="H16" s="30" t="s">
        <v>75</v>
      </c>
      <c r="I16" s="30" t="s">
        <v>467</v>
      </c>
      <c r="J16" s="27" t="s">
        <v>69</v>
      </c>
      <c r="K16" s="25"/>
      <c r="L16" s="28"/>
      <c r="M16" s="30"/>
      <c r="N16" s="28"/>
      <c r="O16" s="25"/>
      <c r="P16" s="28"/>
      <c r="Q16" s="29"/>
      <c r="R16" s="28"/>
    </row>
    <row r="17" customFormat="false" ht="54.75" hidden="false" customHeight="true" outlineLevel="0" collapsed="false">
      <c r="A17" s="24" t="s">
        <v>468</v>
      </c>
      <c r="B17" s="25" t="s">
        <v>14</v>
      </c>
      <c r="C17" s="25" t="s">
        <v>464</v>
      </c>
      <c r="D17" s="25" t="s">
        <v>469</v>
      </c>
      <c r="E17" s="25" t="s">
        <v>470</v>
      </c>
      <c r="F17" s="24" t="s">
        <v>90</v>
      </c>
      <c r="G17" s="25" t="s">
        <v>66</v>
      </c>
      <c r="H17" s="25" t="s">
        <v>75</v>
      </c>
      <c r="I17" s="25" t="s">
        <v>471</v>
      </c>
      <c r="J17" s="27" t="s">
        <v>69</v>
      </c>
      <c r="K17" s="25"/>
      <c r="L17" s="28"/>
      <c r="M17" s="25"/>
      <c r="N17" s="28"/>
      <c r="O17" s="25"/>
      <c r="P17" s="28"/>
      <c r="Q17" s="29"/>
      <c r="R17" s="28"/>
    </row>
    <row r="18" customFormat="false" ht="54.75" hidden="false" customHeight="true" outlineLevel="0" collapsed="false">
      <c r="A18" s="24" t="s">
        <v>472</v>
      </c>
      <c r="B18" s="30" t="s">
        <v>14</v>
      </c>
      <c r="C18" s="30" t="s">
        <v>473</v>
      </c>
      <c r="D18" s="30" t="s">
        <v>474</v>
      </c>
      <c r="E18" s="30" t="s">
        <v>475</v>
      </c>
      <c r="F18" s="24" t="s">
        <v>90</v>
      </c>
      <c r="G18" s="30" t="s">
        <v>74</v>
      </c>
      <c r="H18" s="30" t="s">
        <v>75</v>
      </c>
      <c r="I18" s="30" t="s">
        <v>476</v>
      </c>
      <c r="J18" s="27" t="s">
        <v>69</v>
      </c>
      <c r="K18" s="25"/>
      <c r="L18" s="28"/>
      <c r="M18" s="30"/>
      <c r="N18" s="28"/>
      <c r="O18" s="25"/>
      <c r="P18" s="28"/>
      <c r="Q18" s="29"/>
      <c r="R18" s="28"/>
    </row>
    <row r="19" customFormat="false" ht="54.75" hidden="false" customHeight="true" outlineLevel="0" collapsed="false">
      <c r="A19" s="24" t="s">
        <v>477</v>
      </c>
      <c r="B19" s="25" t="s">
        <v>14</v>
      </c>
      <c r="C19" s="25" t="s">
        <v>478</v>
      </c>
      <c r="D19" s="25" t="s">
        <v>479</v>
      </c>
      <c r="E19" s="25" t="s">
        <v>480</v>
      </c>
      <c r="F19" s="31" t="s">
        <v>73</v>
      </c>
      <c r="G19" s="25" t="s">
        <v>74</v>
      </c>
      <c r="H19" s="25" t="s">
        <v>75</v>
      </c>
      <c r="I19" s="25" t="s">
        <v>481</v>
      </c>
      <c r="J19" s="27" t="s">
        <v>69</v>
      </c>
      <c r="K19" s="25"/>
      <c r="L19" s="28"/>
      <c r="M19" s="25"/>
      <c r="N19" s="28"/>
      <c r="O19" s="25"/>
      <c r="P19" s="28"/>
      <c r="Q19" s="29"/>
      <c r="R19" s="28"/>
    </row>
    <row r="20" customFormat="false" ht="54.75" hidden="false" customHeight="true" outlineLevel="0" collapsed="false">
      <c r="A20" s="24" t="s">
        <v>482</v>
      </c>
      <c r="B20" s="30" t="s">
        <v>14</v>
      </c>
      <c r="C20" s="30" t="s">
        <v>483</v>
      </c>
      <c r="D20" s="30" t="s">
        <v>484</v>
      </c>
      <c r="E20" s="30" t="s">
        <v>485</v>
      </c>
      <c r="F20" s="24" t="s">
        <v>90</v>
      </c>
      <c r="G20" s="30" t="s">
        <v>74</v>
      </c>
      <c r="H20" s="30" t="s">
        <v>75</v>
      </c>
      <c r="I20" s="30" t="s">
        <v>486</v>
      </c>
      <c r="J20" s="27" t="s">
        <v>69</v>
      </c>
      <c r="K20" s="25"/>
      <c r="L20" s="28"/>
      <c r="M20" s="30"/>
      <c r="N20" s="28"/>
      <c r="O20" s="25"/>
      <c r="P20" s="28"/>
      <c r="Q20" s="29"/>
      <c r="R20" s="28"/>
    </row>
  </sheetData>
  <mergeCells count="1">
    <mergeCell ref="A1:R1"/>
  </mergeCells>
  <conditionalFormatting sqref="J3:J20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"Non-Compliant"</formula>
    </cfRule>
    <cfRule type="cellIs" priority="4" operator="equal" aboveAverage="0" equalAverage="0" bottom="0" percent="0" rank="0" text="" dxfId="2">
      <formula>"Partial"</formula>
    </cfRule>
  </conditionalFormatting>
  <dataValidations count="2">
    <dataValidation allowBlank="true" errorStyle="stop" operator="between" showDropDown="false" showErrorMessage="false" showInputMessage="false" sqref="J3:J20" type="list">
      <formula1>"Compliant,Partial,Non-Compliant,N/A,Not Tested"</formula1>
      <formula2>0</formula2>
    </dataValidation>
    <dataValidation allowBlank="true" errorStyle="stop" operator="between" showDropDown="false" showErrorMessage="false" showInputMessage="false" sqref="Q3:Q20" type="list">
      <formula1>"Satisfactory,Needs Improvement,Unsatisfactory,N/A"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20"/>
    <col collapsed="false" customWidth="true" hidden="false" outlineLevel="0" max="18" min="17" style="0" width="14"/>
  </cols>
  <sheetData>
    <row r="1" customFormat="false" ht="27.75" hidden="false" customHeight="true" outlineLevel="0" collapsed="false">
      <c r="A1" s="22" t="s">
        <v>487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39.75" hidden="false" customHeight="true" outlineLevel="0" collapsed="false">
      <c r="A2" s="23" t="s">
        <v>44</v>
      </c>
      <c r="B2" s="23" t="s">
        <v>3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</row>
    <row r="3" customFormat="false" ht="54.75" hidden="false" customHeight="true" outlineLevel="0" collapsed="false">
      <c r="A3" s="24" t="s">
        <v>488</v>
      </c>
      <c r="B3" s="25" t="s">
        <v>16</v>
      </c>
      <c r="C3" s="25" t="s">
        <v>489</v>
      </c>
      <c r="D3" s="25" t="s">
        <v>490</v>
      </c>
      <c r="E3" s="25" t="s">
        <v>171</v>
      </c>
      <c r="F3" s="26" t="s">
        <v>65</v>
      </c>
      <c r="G3" s="25" t="s">
        <v>66</v>
      </c>
      <c r="H3" s="25" t="s">
        <v>75</v>
      </c>
      <c r="I3" s="25" t="s">
        <v>491</v>
      </c>
      <c r="J3" s="27" t="s">
        <v>69</v>
      </c>
      <c r="K3" s="25"/>
      <c r="L3" s="28"/>
      <c r="M3" s="25"/>
      <c r="N3" s="28"/>
      <c r="O3" s="25"/>
      <c r="P3" s="28"/>
      <c r="Q3" s="29"/>
      <c r="R3" s="28"/>
    </row>
    <row r="4" customFormat="false" ht="54.75" hidden="false" customHeight="true" outlineLevel="0" collapsed="false">
      <c r="A4" s="24" t="s">
        <v>492</v>
      </c>
      <c r="B4" s="30" t="s">
        <v>16</v>
      </c>
      <c r="C4" s="30" t="s">
        <v>489</v>
      </c>
      <c r="D4" s="30" t="s">
        <v>493</v>
      </c>
      <c r="E4" s="30" t="s">
        <v>176</v>
      </c>
      <c r="F4" s="26" t="s">
        <v>65</v>
      </c>
      <c r="G4" s="30" t="s">
        <v>74</v>
      </c>
      <c r="H4" s="30" t="s">
        <v>75</v>
      </c>
      <c r="I4" s="30" t="s">
        <v>494</v>
      </c>
      <c r="J4" s="27" t="s">
        <v>69</v>
      </c>
      <c r="K4" s="25"/>
      <c r="L4" s="28"/>
      <c r="M4" s="30"/>
      <c r="N4" s="28"/>
      <c r="O4" s="25"/>
      <c r="P4" s="28"/>
      <c r="Q4" s="29"/>
      <c r="R4" s="28"/>
    </row>
    <row r="5" customFormat="false" ht="54.75" hidden="false" customHeight="true" outlineLevel="0" collapsed="false">
      <c r="A5" s="24" t="s">
        <v>495</v>
      </c>
      <c r="B5" s="25" t="s">
        <v>16</v>
      </c>
      <c r="C5" s="25" t="s">
        <v>496</v>
      </c>
      <c r="D5" s="25" t="s">
        <v>497</v>
      </c>
      <c r="E5" s="25" t="s">
        <v>180</v>
      </c>
      <c r="F5" s="31" t="s">
        <v>73</v>
      </c>
      <c r="G5" s="25" t="s">
        <v>74</v>
      </c>
      <c r="H5" s="25" t="s">
        <v>75</v>
      </c>
      <c r="I5" s="25" t="s">
        <v>498</v>
      </c>
      <c r="J5" s="27" t="s">
        <v>69</v>
      </c>
      <c r="K5" s="25"/>
      <c r="L5" s="28"/>
      <c r="M5" s="25"/>
      <c r="N5" s="28"/>
      <c r="O5" s="25"/>
      <c r="P5" s="28"/>
      <c r="Q5" s="29"/>
      <c r="R5" s="28"/>
    </row>
    <row r="6" customFormat="false" ht="54.75" hidden="false" customHeight="true" outlineLevel="0" collapsed="false">
      <c r="A6" s="24" t="s">
        <v>499</v>
      </c>
      <c r="B6" s="30" t="s">
        <v>16</v>
      </c>
      <c r="C6" s="30" t="s">
        <v>496</v>
      </c>
      <c r="D6" s="30" t="s">
        <v>500</v>
      </c>
      <c r="E6" s="30" t="s">
        <v>501</v>
      </c>
      <c r="F6" s="31" t="s">
        <v>73</v>
      </c>
      <c r="G6" s="30" t="s">
        <v>74</v>
      </c>
      <c r="H6" s="30" t="s">
        <v>75</v>
      </c>
      <c r="I6" s="30" t="s">
        <v>502</v>
      </c>
      <c r="J6" s="27" t="s">
        <v>69</v>
      </c>
      <c r="K6" s="25"/>
      <c r="L6" s="28"/>
      <c r="M6" s="30"/>
      <c r="N6" s="28"/>
      <c r="O6" s="25"/>
      <c r="P6" s="28"/>
      <c r="Q6" s="29"/>
      <c r="R6" s="28"/>
    </row>
    <row r="7" customFormat="false" ht="54.75" hidden="false" customHeight="true" outlineLevel="0" collapsed="false">
      <c r="A7" s="24" t="s">
        <v>503</v>
      </c>
      <c r="B7" s="25" t="s">
        <v>16</v>
      </c>
      <c r="C7" s="25" t="s">
        <v>504</v>
      </c>
      <c r="D7" s="25" t="s">
        <v>505</v>
      </c>
      <c r="E7" s="25" t="s">
        <v>506</v>
      </c>
      <c r="F7" s="31" t="s">
        <v>73</v>
      </c>
      <c r="G7" s="25" t="s">
        <v>66</v>
      </c>
      <c r="H7" s="25" t="s">
        <v>507</v>
      </c>
      <c r="I7" s="25" t="s">
        <v>508</v>
      </c>
      <c r="J7" s="27" t="s">
        <v>69</v>
      </c>
      <c r="K7" s="25"/>
      <c r="L7" s="28"/>
      <c r="M7" s="25"/>
      <c r="N7" s="28"/>
      <c r="O7" s="25"/>
      <c r="P7" s="28"/>
      <c r="Q7" s="29"/>
      <c r="R7" s="28"/>
    </row>
    <row r="8" customFormat="false" ht="54.75" hidden="false" customHeight="true" outlineLevel="0" collapsed="false">
      <c r="A8" s="24" t="s">
        <v>509</v>
      </c>
      <c r="B8" s="30" t="s">
        <v>16</v>
      </c>
      <c r="C8" s="30" t="s">
        <v>510</v>
      </c>
      <c r="D8" s="30" t="s">
        <v>511</v>
      </c>
      <c r="E8" s="30" t="s">
        <v>512</v>
      </c>
      <c r="F8" s="31" t="s">
        <v>73</v>
      </c>
      <c r="G8" s="30" t="s">
        <v>66</v>
      </c>
      <c r="H8" s="30" t="s">
        <v>85</v>
      </c>
      <c r="I8" s="30" t="s">
        <v>513</v>
      </c>
      <c r="J8" s="27" t="s">
        <v>69</v>
      </c>
      <c r="K8" s="25"/>
      <c r="L8" s="28"/>
      <c r="M8" s="30"/>
      <c r="N8" s="28"/>
      <c r="O8" s="25"/>
      <c r="P8" s="28"/>
      <c r="Q8" s="29"/>
      <c r="R8" s="28"/>
    </row>
    <row r="9" customFormat="false" ht="54.75" hidden="false" customHeight="true" outlineLevel="0" collapsed="false">
      <c r="A9" s="24" t="s">
        <v>514</v>
      </c>
      <c r="B9" s="25" t="s">
        <v>16</v>
      </c>
      <c r="C9" s="25" t="s">
        <v>510</v>
      </c>
      <c r="D9" s="25" t="s">
        <v>515</v>
      </c>
      <c r="E9" s="25" t="s">
        <v>516</v>
      </c>
      <c r="F9" s="31" t="s">
        <v>73</v>
      </c>
      <c r="G9" s="25" t="s">
        <v>66</v>
      </c>
      <c r="H9" s="25" t="s">
        <v>85</v>
      </c>
      <c r="I9" s="25" t="s">
        <v>517</v>
      </c>
      <c r="J9" s="27" t="s">
        <v>69</v>
      </c>
      <c r="K9" s="25"/>
      <c r="L9" s="28"/>
      <c r="M9" s="25"/>
      <c r="N9" s="28"/>
      <c r="O9" s="25"/>
      <c r="P9" s="28"/>
      <c r="Q9" s="29"/>
      <c r="R9" s="28"/>
    </row>
    <row r="10" customFormat="false" ht="54.75" hidden="false" customHeight="true" outlineLevel="0" collapsed="false">
      <c r="A10" s="24" t="s">
        <v>518</v>
      </c>
      <c r="B10" s="30" t="s">
        <v>16</v>
      </c>
      <c r="C10" s="30" t="s">
        <v>510</v>
      </c>
      <c r="D10" s="30" t="s">
        <v>519</v>
      </c>
      <c r="E10" s="30" t="s">
        <v>520</v>
      </c>
      <c r="F10" s="31" t="s">
        <v>73</v>
      </c>
      <c r="G10" s="30" t="s">
        <v>66</v>
      </c>
      <c r="H10" s="30" t="s">
        <v>75</v>
      </c>
      <c r="I10" s="30" t="s">
        <v>521</v>
      </c>
      <c r="J10" s="27" t="s">
        <v>69</v>
      </c>
      <c r="K10" s="25"/>
      <c r="L10" s="28"/>
      <c r="M10" s="30"/>
      <c r="N10" s="28"/>
      <c r="O10" s="25"/>
      <c r="P10" s="28"/>
      <c r="Q10" s="29"/>
      <c r="R10" s="28"/>
    </row>
    <row r="11" customFormat="false" ht="54.75" hidden="false" customHeight="true" outlineLevel="0" collapsed="false">
      <c r="A11" s="24" t="s">
        <v>522</v>
      </c>
      <c r="B11" s="25" t="s">
        <v>16</v>
      </c>
      <c r="C11" s="25" t="s">
        <v>523</v>
      </c>
      <c r="D11" s="25" t="s">
        <v>524</v>
      </c>
      <c r="E11" s="25" t="s">
        <v>185</v>
      </c>
      <c r="F11" s="31" t="s">
        <v>73</v>
      </c>
      <c r="G11" s="25" t="s">
        <v>66</v>
      </c>
      <c r="H11" s="25" t="s">
        <v>280</v>
      </c>
      <c r="I11" s="25" t="s">
        <v>525</v>
      </c>
      <c r="J11" s="27" t="s">
        <v>69</v>
      </c>
      <c r="K11" s="25"/>
      <c r="L11" s="28"/>
      <c r="M11" s="25"/>
      <c r="N11" s="28"/>
      <c r="O11" s="25"/>
      <c r="P11" s="28"/>
      <c r="Q11" s="29"/>
      <c r="R11" s="28"/>
    </row>
    <row r="12" customFormat="false" ht="54.75" hidden="false" customHeight="true" outlineLevel="0" collapsed="false">
      <c r="A12" s="24" t="s">
        <v>526</v>
      </c>
      <c r="B12" s="30" t="s">
        <v>16</v>
      </c>
      <c r="C12" s="30" t="s">
        <v>523</v>
      </c>
      <c r="D12" s="30" t="s">
        <v>527</v>
      </c>
      <c r="E12" s="30" t="s">
        <v>189</v>
      </c>
      <c r="F12" s="24" t="s">
        <v>90</v>
      </c>
      <c r="G12" s="30" t="s">
        <v>66</v>
      </c>
      <c r="H12" s="30" t="s">
        <v>507</v>
      </c>
      <c r="I12" s="30" t="s">
        <v>528</v>
      </c>
      <c r="J12" s="27" t="s">
        <v>69</v>
      </c>
      <c r="K12" s="25"/>
      <c r="L12" s="28"/>
      <c r="M12" s="30"/>
      <c r="N12" s="28"/>
      <c r="O12" s="25"/>
      <c r="P12" s="28"/>
      <c r="Q12" s="29"/>
      <c r="R12" s="28"/>
    </row>
    <row r="13" customFormat="false" ht="54.75" hidden="false" customHeight="true" outlineLevel="0" collapsed="false">
      <c r="A13" s="24" t="s">
        <v>529</v>
      </c>
      <c r="B13" s="25" t="s">
        <v>16</v>
      </c>
      <c r="C13" s="25" t="s">
        <v>530</v>
      </c>
      <c r="D13" s="25" t="s">
        <v>531</v>
      </c>
      <c r="E13" s="25" t="s">
        <v>194</v>
      </c>
      <c r="F13" s="24" t="s">
        <v>90</v>
      </c>
      <c r="G13" s="25" t="s">
        <v>66</v>
      </c>
      <c r="H13" s="25" t="s">
        <v>532</v>
      </c>
      <c r="I13" s="25" t="s">
        <v>533</v>
      </c>
      <c r="J13" s="27" t="s">
        <v>69</v>
      </c>
      <c r="K13" s="25"/>
      <c r="L13" s="28"/>
      <c r="M13" s="25"/>
      <c r="N13" s="28"/>
      <c r="O13" s="25"/>
      <c r="P13" s="28"/>
      <c r="Q13" s="29"/>
      <c r="R13" s="28"/>
    </row>
    <row r="14" customFormat="false" ht="54.75" hidden="false" customHeight="true" outlineLevel="0" collapsed="false">
      <c r="A14" s="24" t="s">
        <v>534</v>
      </c>
      <c r="B14" s="30" t="s">
        <v>16</v>
      </c>
      <c r="C14" s="30" t="s">
        <v>530</v>
      </c>
      <c r="D14" s="30" t="s">
        <v>535</v>
      </c>
      <c r="E14" s="30" t="s">
        <v>198</v>
      </c>
      <c r="F14" s="24" t="s">
        <v>90</v>
      </c>
      <c r="G14" s="30" t="s">
        <v>74</v>
      </c>
      <c r="H14" s="30" t="s">
        <v>532</v>
      </c>
      <c r="I14" s="30" t="s">
        <v>536</v>
      </c>
      <c r="J14" s="27" t="s">
        <v>69</v>
      </c>
      <c r="K14" s="25"/>
      <c r="L14" s="28"/>
      <c r="M14" s="30"/>
      <c r="N14" s="28"/>
      <c r="O14" s="25"/>
      <c r="P14" s="28"/>
      <c r="Q14" s="29"/>
      <c r="R14" s="28"/>
    </row>
    <row r="15" customFormat="false" ht="54.75" hidden="false" customHeight="true" outlineLevel="0" collapsed="false">
      <c r="A15" s="24" t="s">
        <v>537</v>
      </c>
      <c r="B15" s="25" t="s">
        <v>16</v>
      </c>
      <c r="C15" s="25" t="s">
        <v>530</v>
      </c>
      <c r="D15" s="25" t="s">
        <v>538</v>
      </c>
      <c r="E15" s="25" t="s">
        <v>202</v>
      </c>
      <c r="F15" s="24" t="s">
        <v>90</v>
      </c>
      <c r="G15" s="25" t="s">
        <v>66</v>
      </c>
      <c r="H15" s="25" t="s">
        <v>75</v>
      </c>
      <c r="I15" s="25" t="s">
        <v>539</v>
      </c>
      <c r="J15" s="27" t="s">
        <v>69</v>
      </c>
      <c r="K15" s="25"/>
      <c r="L15" s="28"/>
      <c r="M15" s="25"/>
      <c r="N15" s="28"/>
      <c r="O15" s="25"/>
      <c r="P15" s="28"/>
      <c r="Q15" s="29"/>
      <c r="R15" s="28"/>
    </row>
    <row r="16" customFormat="false" ht="54.75" hidden="false" customHeight="true" outlineLevel="0" collapsed="false">
      <c r="A16" s="24" t="s">
        <v>540</v>
      </c>
      <c r="B16" s="30" t="s">
        <v>16</v>
      </c>
      <c r="C16" s="30" t="s">
        <v>541</v>
      </c>
      <c r="D16" s="30" t="s">
        <v>542</v>
      </c>
      <c r="E16" s="30" t="s">
        <v>150</v>
      </c>
      <c r="F16" s="31" t="s">
        <v>73</v>
      </c>
      <c r="G16" s="30" t="s">
        <v>66</v>
      </c>
      <c r="H16" s="30" t="s">
        <v>75</v>
      </c>
      <c r="I16" s="30" t="s">
        <v>543</v>
      </c>
      <c r="J16" s="27" t="s">
        <v>69</v>
      </c>
      <c r="K16" s="25"/>
      <c r="L16" s="28"/>
      <c r="M16" s="30"/>
      <c r="N16" s="28"/>
      <c r="O16" s="25"/>
      <c r="P16" s="28"/>
      <c r="Q16" s="29"/>
      <c r="R16" s="28"/>
    </row>
    <row r="17" customFormat="false" ht="54.75" hidden="false" customHeight="true" outlineLevel="0" collapsed="false">
      <c r="A17" s="24" t="s">
        <v>544</v>
      </c>
      <c r="B17" s="25" t="s">
        <v>16</v>
      </c>
      <c r="C17" s="25" t="s">
        <v>545</v>
      </c>
      <c r="D17" s="25" t="s">
        <v>546</v>
      </c>
      <c r="E17" s="25" t="s">
        <v>219</v>
      </c>
      <c r="F17" s="31" t="s">
        <v>73</v>
      </c>
      <c r="G17" s="25" t="s">
        <v>74</v>
      </c>
      <c r="H17" s="25" t="s">
        <v>75</v>
      </c>
      <c r="I17" s="25" t="s">
        <v>547</v>
      </c>
      <c r="J17" s="27" t="s">
        <v>69</v>
      </c>
      <c r="K17" s="25"/>
      <c r="L17" s="28"/>
      <c r="M17" s="25"/>
      <c r="N17" s="28"/>
      <c r="O17" s="25"/>
      <c r="P17" s="28"/>
      <c r="Q17" s="29"/>
      <c r="R17" s="28"/>
    </row>
    <row r="18" customFormat="false" ht="54.75" hidden="false" customHeight="true" outlineLevel="0" collapsed="false">
      <c r="A18" s="24" t="s">
        <v>548</v>
      </c>
      <c r="B18" s="30" t="s">
        <v>16</v>
      </c>
      <c r="C18" s="30" t="s">
        <v>545</v>
      </c>
      <c r="D18" s="30" t="s">
        <v>549</v>
      </c>
      <c r="E18" s="30" t="s">
        <v>223</v>
      </c>
      <c r="F18" s="31" t="s">
        <v>73</v>
      </c>
      <c r="G18" s="30" t="s">
        <v>66</v>
      </c>
      <c r="H18" s="30" t="s">
        <v>550</v>
      </c>
      <c r="I18" s="30" t="s">
        <v>551</v>
      </c>
      <c r="J18" s="27" t="s">
        <v>69</v>
      </c>
      <c r="K18" s="25"/>
      <c r="L18" s="28"/>
      <c r="M18" s="30"/>
      <c r="N18" s="28"/>
      <c r="O18" s="25"/>
      <c r="P18" s="28"/>
      <c r="Q18" s="29"/>
      <c r="R18" s="28"/>
    </row>
  </sheetData>
  <mergeCells count="1">
    <mergeCell ref="A1:R1"/>
  </mergeCells>
  <conditionalFormatting sqref="J3:J18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"Non-Compliant"</formula>
    </cfRule>
    <cfRule type="cellIs" priority="4" operator="equal" aboveAverage="0" equalAverage="0" bottom="0" percent="0" rank="0" text="" dxfId="2">
      <formula>"Partial"</formula>
    </cfRule>
  </conditionalFormatting>
  <dataValidations count="2">
    <dataValidation allowBlank="true" errorStyle="stop" operator="between" showDropDown="false" showErrorMessage="false" showInputMessage="false" sqref="J3:J18" type="list">
      <formula1>"Compliant,Partial,Non-Compliant,N/A,Not Tested"</formula1>
      <formula2>0</formula2>
    </dataValidation>
    <dataValidation allowBlank="true" errorStyle="stop" operator="between" showDropDown="false" showErrorMessage="false" showInputMessage="false" sqref="Q3:Q18" type="list">
      <formula1>"Satisfactory,Needs Improvement,Unsatisfactory,N/A"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20"/>
    <col collapsed="false" customWidth="true" hidden="false" outlineLevel="0" max="18" min="17" style="0" width="14"/>
  </cols>
  <sheetData>
    <row r="1" customFormat="false" ht="27.75" hidden="false" customHeight="true" outlineLevel="0" collapsed="false">
      <c r="A1" s="22" t="s">
        <v>552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39.75" hidden="false" customHeight="true" outlineLevel="0" collapsed="false">
      <c r="A2" s="23" t="s">
        <v>44</v>
      </c>
      <c r="B2" s="23" t="s">
        <v>3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</row>
    <row r="3" customFormat="false" ht="54.75" hidden="false" customHeight="true" outlineLevel="0" collapsed="false">
      <c r="A3" s="24" t="s">
        <v>553</v>
      </c>
      <c r="B3" s="25" t="s">
        <v>17</v>
      </c>
      <c r="C3" s="25" t="s">
        <v>554</v>
      </c>
      <c r="D3" s="25" t="s">
        <v>555</v>
      </c>
      <c r="E3" s="25" t="s">
        <v>556</v>
      </c>
      <c r="F3" s="31" t="s">
        <v>73</v>
      </c>
      <c r="G3" s="25" t="s">
        <v>74</v>
      </c>
      <c r="H3" s="25" t="s">
        <v>75</v>
      </c>
      <c r="I3" s="25" t="s">
        <v>557</v>
      </c>
      <c r="J3" s="27" t="s">
        <v>69</v>
      </c>
      <c r="K3" s="25"/>
      <c r="L3" s="28"/>
      <c r="M3" s="25"/>
      <c r="N3" s="28"/>
      <c r="O3" s="25"/>
      <c r="P3" s="28"/>
      <c r="Q3" s="29"/>
      <c r="R3" s="28"/>
    </row>
    <row r="4" customFormat="false" ht="54.75" hidden="false" customHeight="true" outlineLevel="0" collapsed="false">
      <c r="A4" s="24" t="s">
        <v>558</v>
      </c>
      <c r="B4" s="30" t="s">
        <v>17</v>
      </c>
      <c r="C4" s="30" t="s">
        <v>554</v>
      </c>
      <c r="D4" s="30" t="s">
        <v>559</v>
      </c>
      <c r="E4" s="30" t="s">
        <v>560</v>
      </c>
      <c r="F4" s="31" t="s">
        <v>73</v>
      </c>
      <c r="G4" s="30" t="s">
        <v>74</v>
      </c>
      <c r="H4" s="30" t="s">
        <v>75</v>
      </c>
      <c r="I4" s="30" t="s">
        <v>561</v>
      </c>
      <c r="J4" s="27" t="s">
        <v>69</v>
      </c>
      <c r="K4" s="25"/>
      <c r="L4" s="28"/>
      <c r="M4" s="30"/>
      <c r="N4" s="28"/>
      <c r="O4" s="25"/>
      <c r="P4" s="28"/>
      <c r="Q4" s="29"/>
      <c r="R4" s="28"/>
    </row>
    <row r="5" customFormat="false" ht="54.75" hidden="false" customHeight="true" outlineLevel="0" collapsed="false">
      <c r="A5" s="24" t="s">
        <v>562</v>
      </c>
      <c r="B5" s="25" t="s">
        <v>17</v>
      </c>
      <c r="C5" s="25" t="s">
        <v>563</v>
      </c>
      <c r="D5" s="25" t="s">
        <v>564</v>
      </c>
      <c r="E5" s="25" t="s">
        <v>565</v>
      </c>
      <c r="F5" s="31" t="s">
        <v>73</v>
      </c>
      <c r="G5" s="25" t="s">
        <v>66</v>
      </c>
      <c r="H5" s="25" t="s">
        <v>67</v>
      </c>
      <c r="I5" s="25" t="s">
        <v>566</v>
      </c>
      <c r="J5" s="27" t="s">
        <v>69</v>
      </c>
      <c r="K5" s="25"/>
      <c r="L5" s="28"/>
      <c r="M5" s="25"/>
      <c r="N5" s="28"/>
      <c r="O5" s="25"/>
      <c r="P5" s="28"/>
      <c r="Q5" s="29"/>
      <c r="R5" s="28"/>
    </row>
    <row r="6" customFormat="false" ht="54.75" hidden="false" customHeight="true" outlineLevel="0" collapsed="false">
      <c r="A6" s="24" t="s">
        <v>567</v>
      </c>
      <c r="B6" s="30" t="s">
        <v>17</v>
      </c>
      <c r="C6" s="30" t="s">
        <v>568</v>
      </c>
      <c r="D6" s="30" t="s">
        <v>569</v>
      </c>
      <c r="E6" s="30" t="s">
        <v>570</v>
      </c>
      <c r="F6" s="31" t="s">
        <v>73</v>
      </c>
      <c r="G6" s="30" t="s">
        <v>74</v>
      </c>
      <c r="H6" s="30" t="s">
        <v>571</v>
      </c>
      <c r="I6" s="30" t="s">
        <v>572</v>
      </c>
      <c r="J6" s="27" t="s">
        <v>69</v>
      </c>
      <c r="K6" s="25"/>
      <c r="L6" s="28"/>
      <c r="M6" s="30"/>
      <c r="N6" s="28"/>
      <c r="O6" s="25"/>
      <c r="P6" s="28"/>
      <c r="Q6" s="29"/>
      <c r="R6" s="28"/>
    </row>
    <row r="7" customFormat="false" ht="54.75" hidden="false" customHeight="true" outlineLevel="0" collapsed="false">
      <c r="A7" s="24" t="s">
        <v>573</v>
      </c>
      <c r="B7" s="25" t="s">
        <v>17</v>
      </c>
      <c r="C7" s="25" t="s">
        <v>568</v>
      </c>
      <c r="D7" s="25" t="s">
        <v>574</v>
      </c>
      <c r="E7" s="25" t="s">
        <v>575</v>
      </c>
      <c r="F7" s="31" t="s">
        <v>73</v>
      </c>
      <c r="G7" s="25" t="s">
        <v>66</v>
      </c>
      <c r="H7" s="25" t="s">
        <v>75</v>
      </c>
      <c r="I7" s="25" t="s">
        <v>576</v>
      </c>
      <c r="J7" s="27" t="s">
        <v>69</v>
      </c>
      <c r="K7" s="25"/>
      <c r="L7" s="28"/>
      <c r="M7" s="25"/>
      <c r="N7" s="28"/>
      <c r="O7" s="25"/>
      <c r="P7" s="28"/>
      <c r="Q7" s="29"/>
      <c r="R7" s="28"/>
    </row>
    <row r="8" customFormat="false" ht="54.75" hidden="false" customHeight="true" outlineLevel="0" collapsed="false">
      <c r="A8" s="24" t="s">
        <v>577</v>
      </c>
      <c r="B8" s="30" t="s">
        <v>17</v>
      </c>
      <c r="C8" s="30" t="s">
        <v>578</v>
      </c>
      <c r="D8" s="30" t="s">
        <v>579</v>
      </c>
      <c r="E8" s="30" t="s">
        <v>580</v>
      </c>
      <c r="F8" s="26" t="s">
        <v>65</v>
      </c>
      <c r="G8" s="30" t="s">
        <v>74</v>
      </c>
      <c r="H8" s="30" t="s">
        <v>581</v>
      </c>
      <c r="I8" s="30" t="s">
        <v>582</v>
      </c>
      <c r="J8" s="27" t="s">
        <v>69</v>
      </c>
      <c r="K8" s="25"/>
      <c r="L8" s="28"/>
      <c r="M8" s="30"/>
      <c r="N8" s="28"/>
      <c r="O8" s="25"/>
      <c r="P8" s="28"/>
      <c r="Q8" s="29"/>
      <c r="R8" s="28"/>
    </row>
    <row r="9" customFormat="false" ht="54.75" hidden="false" customHeight="true" outlineLevel="0" collapsed="false">
      <c r="A9" s="24" t="s">
        <v>583</v>
      </c>
      <c r="B9" s="25" t="s">
        <v>17</v>
      </c>
      <c r="C9" s="25" t="s">
        <v>578</v>
      </c>
      <c r="D9" s="25" t="s">
        <v>584</v>
      </c>
      <c r="E9" s="25" t="s">
        <v>585</v>
      </c>
      <c r="F9" s="26" t="s">
        <v>65</v>
      </c>
      <c r="G9" s="25" t="s">
        <v>74</v>
      </c>
      <c r="H9" s="25" t="s">
        <v>581</v>
      </c>
      <c r="I9" s="25" t="s">
        <v>586</v>
      </c>
      <c r="J9" s="27" t="s">
        <v>69</v>
      </c>
      <c r="K9" s="25"/>
      <c r="L9" s="28"/>
      <c r="M9" s="25"/>
      <c r="N9" s="28"/>
      <c r="O9" s="25"/>
      <c r="P9" s="28"/>
      <c r="Q9" s="29"/>
      <c r="R9" s="28"/>
    </row>
    <row r="10" customFormat="false" ht="54.75" hidden="false" customHeight="true" outlineLevel="0" collapsed="false">
      <c r="A10" s="24" t="s">
        <v>587</v>
      </c>
      <c r="B10" s="30" t="s">
        <v>17</v>
      </c>
      <c r="C10" s="30" t="s">
        <v>578</v>
      </c>
      <c r="D10" s="30" t="s">
        <v>588</v>
      </c>
      <c r="E10" s="30" t="s">
        <v>589</v>
      </c>
      <c r="F10" s="31" t="s">
        <v>73</v>
      </c>
      <c r="G10" s="30" t="s">
        <v>74</v>
      </c>
      <c r="H10" s="30" t="s">
        <v>75</v>
      </c>
      <c r="I10" s="30" t="s">
        <v>590</v>
      </c>
      <c r="J10" s="27" t="s">
        <v>69</v>
      </c>
      <c r="K10" s="25"/>
      <c r="L10" s="28"/>
      <c r="M10" s="30"/>
      <c r="N10" s="28"/>
      <c r="O10" s="25"/>
      <c r="P10" s="28"/>
      <c r="Q10" s="29"/>
      <c r="R10" s="28"/>
    </row>
    <row r="11" customFormat="false" ht="54.75" hidden="false" customHeight="true" outlineLevel="0" collapsed="false">
      <c r="A11" s="24" t="s">
        <v>591</v>
      </c>
      <c r="B11" s="25" t="s">
        <v>17</v>
      </c>
      <c r="C11" s="25" t="s">
        <v>592</v>
      </c>
      <c r="D11" s="25" t="s">
        <v>593</v>
      </c>
      <c r="E11" s="25" t="s">
        <v>594</v>
      </c>
      <c r="F11" s="31" t="s">
        <v>73</v>
      </c>
      <c r="G11" s="25" t="s">
        <v>66</v>
      </c>
      <c r="H11" s="25" t="s">
        <v>67</v>
      </c>
      <c r="I11" s="25" t="s">
        <v>595</v>
      </c>
      <c r="J11" s="27" t="s">
        <v>69</v>
      </c>
      <c r="K11" s="25"/>
      <c r="L11" s="28"/>
      <c r="M11" s="25"/>
      <c r="N11" s="28"/>
      <c r="O11" s="25"/>
      <c r="P11" s="28"/>
      <c r="Q11" s="29"/>
      <c r="R11" s="28"/>
    </row>
    <row r="12" customFormat="false" ht="54.75" hidden="false" customHeight="true" outlineLevel="0" collapsed="false">
      <c r="A12" s="24" t="s">
        <v>596</v>
      </c>
      <c r="B12" s="30" t="s">
        <v>17</v>
      </c>
      <c r="C12" s="30" t="s">
        <v>592</v>
      </c>
      <c r="D12" s="30" t="s">
        <v>597</v>
      </c>
      <c r="E12" s="30" t="s">
        <v>598</v>
      </c>
      <c r="F12" s="24" t="s">
        <v>90</v>
      </c>
      <c r="G12" s="30" t="s">
        <v>66</v>
      </c>
      <c r="H12" s="30" t="s">
        <v>67</v>
      </c>
      <c r="I12" s="30" t="s">
        <v>599</v>
      </c>
      <c r="J12" s="27" t="s">
        <v>69</v>
      </c>
      <c r="K12" s="25"/>
      <c r="L12" s="28"/>
      <c r="M12" s="30"/>
      <c r="N12" s="28"/>
      <c r="O12" s="25"/>
      <c r="P12" s="28"/>
      <c r="Q12" s="29"/>
      <c r="R12" s="28"/>
    </row>
    <row r="13" customFormat="false" ht="54.75" hidden="false" customHeight="true" outlineLevel="0" collapsed="false">
      <c r="A13" s="24" t="s">
        <v>600</v>
      </c>
      <c r="B13" s="25" t="s">
        <v>17</v>
      </c>
      <c r="C13" s="25" t="s">
        <v>601</v>
      </c>
      <c r="D13" s="25" t="s">
        <v>602</v>
      </c>
      <c r="E13" s="25" t="s">
        <v>603</v>
      </c>
      <c r="F13" s="31" t="s">
        <v>73</v>
      </c>
      <c r="G13" s="25" t="s">
        <v>66</v>
      </c>
      <c r="H13" s="25" t="s">
        <v>75</v>
      </c>
      <c r="I13" s="25" t="s">
        <v>604</v>
      </c>
      <c r="J13" s="27" t="s">
        <v>69</v>
      </c>
      <c r="K13" s="25"/>
      <c r="L13" s="28"/>
      <c r="M13" s="25"/>
      <c r="N13" s="28"/>
      <c r="O13" s="25"/>
      <c r="P13" s="28"/>
      <c r="Q13" s="29"/>
      <c r="R13" s="28"/>
    </row>
    <row r="14" customFormat="false" ht="54.75" hidden="false" customHeight="true" outlineLevel="0" collapsed="false">
      <c r="A14" s="24" t="s">
        <v>605</v>
      </c>
      <c r="B14" s="30" t="s">
        <v>17</v>
      </c>
      <c r="C14" s="30" t="s">
        <v>606</v>
      </c>
      <c r="D14" s="30" t="s">
        <v>607</v>
      </c>
      <c r="E14" s="30" t="s">
        <v>608</v>
      </c>
      <c r="F14" s="24" t="s">
        <v>90</v>
      </c>
      <c r="G14" s="30" t="s">
        <v>74</v>
      </c>
      <c r="H14" s="30" t="s">
        <v>75</v>
      </c>
      <c r="I14" s="30" t="s">
        <v>609</v>
      </c>
      <c r="J14" s="27" t="s">
        <v>69</v>
      </c>
      <c r="K14" s="25"/>
      <c r="L14" s="28"/>
      <c r="M14" s="30"/>
      <c r="N14" s="28"/>
      <c r="O14" s="25"/>
      <c r="P14" s="28"/>
      <c r="Q14" s="29"/>
      <c r="R14" s="28"/>
    </row>
    <row r="15" customFormat="false" ht="54.75" hidden="false" customHeight="true" outlineLevel="0" collapsed="false">
      <c r="A15" s="24" t="s">
        <v>610</v>
      </c>
      <c r="B15" s="25" t="s">
        <v>17</v>
      </c>
      <c r="C15" s="25" t="s">
        <v>606</v>
      </c>
      <c r="D15" s="25" t="s">
        <v>611</v>
      </c>
      <c r="E15" s="25" t="s">
        <v>612</v>
      </c>
      <c r="F15" s="24" t="s">
        <v>90</v>
      </c>
      <c r="G15" s="25" t="s">
        <v>66</v>
      </c>
      <c r="H15" s="25" t="s">
        <v>75</v>
      </c>
      <c r="I15" s="25" t="s">
        <v>613</v>
      </c>
      <c r="J15" s="27" t="s">
        <v>69</v>
      </c>
      <c r="K15" s="25"/>
      <c r="L15" s="28"/>
      <c r="M15" s="25"/>
      <c r="N15" s="28"/>
      <c r="O15" s="25"/>
      <c r="P15" s="28"/>
      <c r="Q15" s="29"/>
      <c r="R15" s="28"/>
    </row>
    <row r="16" customFormat="false" ht="54.75" hidden="false" customHeight="true" outlineLevel="0" collapsed="false">
      <c r="A16" s="24" t="s">
        <v>614</v>
      </c>
      <c r="B16" s="30" t="s">
        <v>17</v>
      </c>
      <c r="C16" s="30" t="s">
        <v>615</v>
      </c>
      <c r="D16" s="30" t="s">
        <v>616</v>
      </c>
      <c r="E16" s="30" t="s">
        <v>617</v>
      </c>
      <c r="F16" s="31" t="s">
        <v>73</v>
      </c>
      <c r="G16" s="30" t="s">
        <v>74</v>
      </c>
      <c r="H16" s="30" t="s">
        <v>618</v>
      </c>
      <c r="I16" s="30" t="s">
        <v>619</v>
      </c>
      <c r="J16" s="27" t="s">
        <v>69</v>
      </c>
      <c r="K16" s="25"/>
      <c r="L16" s="28"/>
      <c r="M16" s="30"/>
      <c r="N16" s="28"/>
      <c r="O16" s="25"/>
      <c r="P16" s="28"/>
      <c r="Q16" s="29"/>
      <c r="R16" s="28"/>
    </row>
    <row r="17" customFormat="false" ht="54.75" hidden="false" customHeight="true" outlineLevel="0" collapsed="false">
      <c r="A17" s="24" t="s">
        <v>620</v>
      </c>
      <c r="B17" s="25" t="s">
        <v>17</v>
      </c>
      <c r="C17" s="25" t="s">
        <v>615</v>
      </c>
      <c r="D17" s="25" t="s">
        <v>621</v>
      </c>
      <c r="E17" s="25" t="s">
        <v>622</v>
      </c>
      <c r="F17" s="26" t="s">
        <v>65</v>
      </c>
      <c r="G17" s="25" t="s">
        <v>74</v>
      </c>
      <c r="H17" s="25" t="s">
        <v>75</v>
      </c>
      <c r="I17" s="25" t="s">
        <v>623</v>
      </c>
      <c r="J17" s="27" t="s">
        <v>69</v>
      </c>
      <c r="K17" s="25"/>
      <c r="L17" s="28"/>
      <c r="M17" s="25"/>
      <c r="N17" s="28"/>
      <c r="O17" s="25"/>
      <c r="P17" s="28"/>
      <c r="Q17" s="29"/>
      <c r="R17" s="28"/>
    </row>
    <row r="18" customFormat="false" ht="54.75" hidden="false" customHeight="true" outlineLevel="0" collapsed="false">
      <c r="A18" s="24" t="s">
        <v>624</v>
      </c>
      <c r="B18" s="30" t="s">
        <v>17</v>
      </c>
      <c r="C18" s="30" t="s">
        <v>625</v>
      </c>
      <c r="D18" s="30" t="s">
        <v>626</v>
      </c>
      <c r="E18" s="30" t="s">
        <v>150</v>
      </c>
      <c r="F18" s="26" t="s">
        <v>65</v>
      </c>
      <c r="G18" s="30" t="s">
        <v>74</v>
      </c>
      <c r="H18" s="30" t="s">
        <v>67</v>
      </c>
      <c r="I18" s="30" t="s">
        <v>627</v>
      </c>
      <c r="J18" s="27" t="s">
        <v>69</v>
      </c>
      <c r="K18" s="25"/>
      <c r="L18" s="28"/>
      <c r="M18" s="30"/>
      <c r="N18" s="28"/>
      <c r="O18" s="25"/>
      <c r="P18" s="28"/>
      <c r="Q18" s="29"/>
      <c r="R18" s="28"/>
    </row>
    <row r="19" customFormat="false" ht="54.75" hidden="false" customHeight="true" outlineLevel="0" collapsed="false">
      <c r="A19" s="24" t="s">
        <v>628</v>
      </c>
      <c r="B19" s="25" t="s">
        <v>17</v>
      </c>
      <c r="C19" s="25" t="s">
        <v>629</v>
      </c>
      <c r="D19" s="25" t="s">
        <v>630</v>
      </c>
      <c r="E19" s="25" t="s">
        <v>631</v>
      </c>
      <c r="F19" s="24" t="s">
        <v>90</v>
      </c>
      <c r="G19" s="25" t="s">
        <v>66</v>
      </c>
      <c r="H19" s="25" t="s">
        <v>632</v>
      </c>
      <c r="I19" s="25" t="s">
        <v>633</v>
      </c>
      <c r="J19" s="27" t="s">
        <v>69</v>
      </c>
      <c r="K19" s="25"/>
      <c r="L19" s="28"/>
      <c r="M19" s="25"/>
      <c r="N19" s="28"/>
      <c r="O19" s="25"/>
      <c r="P19" s="28"/>
      <c r="Q19" s="29"/>
      <c r="R19" s="28"/>
    </row>
  </sheetData>
  <mergeCells count="1">
    <mergeCell ref="A1:R1"/>
  </mergeCells>
  <conditionalFormatting sqref="J3:J19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"Non-Compliant"</formula>
    </cfRule>
    <cfRule type="cellIs" priority="4" operator="equal" aboveAverage="0" equalAverage="0" bottom="0" percent="0" rank="0" text="" dxfId="2">
      <formula>"Partial"</formula>
    </cfRule>
  </conditionalFormatting>
  <dataValidations count="2">
    <dataValidation allowBlank="true" errorStyle="stop" operator="between" showDropDown="false" showErrorMessage="false" showInputMessage="false" sqref="J3:J19" type="list">
      <formula1>"Compliant,Partial,Non-Compliant,N/A,Not Tested"</formula1>
      <formula2>0</formula2>
    </dataValidation>
    <dataValidation allowBlank="true" errorStyle="stop" operator="between" showDropDown="false" showErrorMessage="false" showInputMessage="false" sqref="Q3:Q19" type="list">
      <formula1>"Satisfactory,Needs Improvement,Unsatisfactory,N/A"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20"/>
    <col collapsed="false" customWidth="true" hidden="false" outlineLevel="0" max="18" min="17" style="0" width="14"/>
  </cols>
  <sheetData>
    <row r="1" customFormat="false" ht="27.75" hidden="false" customHeight="true" outlineLevel="0" collapsed="false">
      <c r="A1" s="22" t="s">
        <v>634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39.75" hidden="false" customHeight="true" outlineLevel="0" collapsed="false">
      <c r="A2" s="23" t="s">
        <v>44</v>
      </c>
      <c r="B2" s="23" t="s">
        <v>3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</row>
    <row r="3" customFormat="false" ht="54.75" hidden="false" customHeight="true" outlineLevel="0" collapsed="false">
      <c r="A3" s="24" t="s">
        <v>635</v>
      </c>
      <c r="B3" s="25" t="s">
        <v>18</v>
      </c>
      <c r="C3" s="25" t="s">
        <v>636</v>
      </c>
      <c r="D3" s="25" t="s">
        <v>637</v>
      </c>
      <c r="E3" s="25" t="s">
        <v>219</v>
      </c>
      <c r="F3" s="31" t="s">
        <v>73</v>
      </c>
      <c r="G3" s="25" t="s">
        <v>74</v>
      </c>
      <c r="H3" s="25" t="s">
        <v>75</v>
      </c>
      <c r="I3" s="25" t="s">
        <v>638</v>
      </c>
      <c r="J3" s="27" t="s">
        <v>69</v>
      </c>
      <c r="K3" s="25"/>
      <c r="L3" s="28"/>
      <c r="M3" s="25"/>
      <c r="N3" s="28"/>
      <c r="O3" s="25"/>
      <c r="P3" s="28"/>
      <c r="Q3" s="29"/>
      <c r="R3" s="28"/>
    </row>
    <row r="4" customFormat="false" ht="54.75" hidden="false" customHeight="true" outlineLevel="0" collapsed="false">
      <c r="A4" s="24" t="s">
        <v>639</v>
      </c>
      <c r="B4" s="30" t="s">
        <v>18</v>
      </c>
      <c r="C4" s="30" t="s">
        <v>640</v>
      </c>
      <c r="D4" s="30" t="s">
        <v>641</v>
      </c>
      <c r="E4" s="30" t="s">
        <v>223</v>
      </c>
      <c r="F4" s="24" t="s">
        <v>90</v>
      </c>
      <c r="G4" s="30" t="s">
        <v>74</v>
      </c>
      <c r="H4" s="30" t="s">
        <v>75</v>
      </c>
      <c r="I4" s="30" t="s">
        <v>642</v>
      </c>
      <c r="J4" s="27" t="s">
        <v>69</v>
      </c>
      <c r="K4" s="25"/>
      <c r="L4" s="28"/>
      <c r="M4" s="30"/>
      <c r="N4" s="28"/>
      <c r="O4" s="25"/>
      <c r="P4" s="28"/>
      <c r="Q4" s="29"/>
      <c r="R4" s="28"/>
    </row>
    <row r="5" customFormat="false" ht="54.75" hidden="false" customHeight="true" outlineLevel="0" collapsed="false">
      <c r="A5" s="24" t="s">
        <v>643</v>
      </c>
      <c r="B5" s="25" t="s">
        <v>18</v>
      </c>
      <c r="C5" s="25" t="s">
        <v>640</v>
      </c>
      <c r="D5" s="25" t="s">
        <v>644</v>
      </c>
      <c r="E5" s="25" t="s">
        <v>645</v>
      </c>
      <c r="F5" s="31" t="s">
        <v>73</v>
      </c>
      <c r="G5" s="25" t="s">
        <v>74</v>
      </c>
      <c r="H5" s="25" t="s">
        <v>85</v>
      </c>
      <c r="I5" s="25" t="s">
        <v>646</v>
      </c>
      <c r="J5" s="27" t="s">
        <v>69</v>
      </c>
      <c r="K5" s="25"/>
      <c r="L5" s="28"/>
      <c r="M5" s="25"/>
      <c r="N5" s="28"/>
      <c r="O5" s="25"/>
      <c r="P5" s="28"/>
      <c r="Q5" s="29"/>
      <c r="R5" s="28"/>
    </row>
    <row r="6" customFormat="false" ht="54.75" hidden="false" customHeight="true" outlineLevel="0" collapsed="false">
      <c r="A6" s="24" t="s">
        <v>647</v>
      </c>
      <c r="B6" s="30" t="s">
        <v>18</v>
      </c>
      <c r="C6" s="30" t="s">
        <v>648</v>
      </c>
      <c r="D6" s="30" t="s">
        <v>649</v>
      </c>
      <c r="E6" s="30" t="s">
        <v>234</v>
      </c>
      <c r="F6" s="31" t="s">
        <v>73</v>
      </c>
      <c r="G6" s="30" t="s">
        <v>74</v>
      </c>
      <c r="H6" s="30" t="s">
        <v>650</v>
      </c>
      <c r="I6" s="30" t="s">
        <v>651</v>
      </c>
      <c r="J6" s="27" t="s">
        <v>69</v>
      </c>
      <c r="K6" s="25"/>
      <c r="L6" s="28"/>
      <c r="M6" s="30"/>
      <c r="N6" s="28"/>
      <c r="O6" s="25"/>
      <c r="P6" s="28"/>
      <c r="Q6" s="29"/>
      <c r="R6" s="28"/>
    </row>
    <row r="7" customFormat="false" ht="54.75" hidden="false" customHeight="true" outlineLevel="0" collapsed="false">
      <c r="A7" s="24" t="s">
        <v>652</v>
      </c>
      <c r="B7" s="25" t="s">
        <v>18</v>
      </c>
      <c r="C7" s="25" t="s">
        <v>648</v>
      </c>
      <c r="D7" s="25" t="s">
        <v>653</v>
      </c>
      <c r="E7" s="25" t="s">
        <v>242</v>
      </c>
      <c r="F7" s="31" t="s">
        <v>73</v>
      </c>
      <c r="G7" s="25" t="s">
        <v>74</v>
      </c>
      <c r="H7" s="25" t="s">
        <v>650</v>
      </c>
      <c r="I7" s="25" t="s">
        <v>654</v>
      </c>
      <c r="J7" s="27" t="s">
        <v>69</v>
      </c>
      <c r="K7" s="25"/>
      <c r="L7" s="28"/>
      <c r="M7" s="25"/>
      <c r="N7" s="28"/>
      <c r="O7" s="25"/>
      <c r="P7" s="28"/>
      <c r="Q7" s="29"/>
      <c r="R7" s="28"/>
    </row>
    <row r="8" customFormat="false" ht="54.75" hidden="false" customHeight="true" outlineLevel="0" collapsed="false">
      <c r="A8" s="24" t="s">
        <v>655</v>
      </c>
      <c r="B8" s="30" t="s">
        <v>18</v>
      </c>
      <c r="C8" s="30" t="s">
        <v>656</v>
      </c>
      <c r="D8" s="30" t="s">
        <v>657</v>
      </c>
      <c r="E8" s="30" t="s">
        <v>658</v>
      </c>
      <c r="F8" s="31" t="s">
        <v>73</v>
      </c>
      <c r="G8" s="30" t="s">
        <v>74</v>
      </c>
      <c r="H8" s="30" t="s">
        <v>650</v>
      </c>
      <c r="I8" s="30" t="s">
        <v>659</v>
      </c>
      <c r="J8" s="27" t="s">
        <v>69</v>
      </c>
      <c r="K8" s="25"/>
      <c r="L8" s="28"/>
      <c r="M8" s="30"/>
      <c r="N8" s="28"/>
      <c r="O8" s="25"/>
      <c r="P8" s="28"/>
      <c r="Q8" s="29"/>
      <c r="R8" s="28"/>
    </row>
    <row r="9" customFormat="false" ht="54.75" hidden="false" customHeight="true" outlineLevel="0" collapsed="false">
      <c r="A9" s="24" t="s">
        <v>660</v>
      </c>
      <c r="B9" s="25" t="s">
        <v>18</v>
      </c>
      <c r="C9" s="25" t="s">
        <v>661</v>
      </c>
      <c r="D9" s="25" t="s">
        <v>662</v>
      </c>
      <c r="E9" s="25" t="s">
        <v>663</v>
      </c>
      <c r="F9" s="31" t="s">
        <v>73</v>
      </c>
      <c r="G9" s="25" t="s">
        <v>74</v>
      </c>
      <c r="H9" s="25" t="s">
        <v>664</v>
      </c>
      <c r="I9" s="25" t="s">
        <v>665</v>
      </c>
      <c r="J9" s="27" t="s">
        <v>69</v>
      </c>
      <c r="K9" s="25"/>
      <c r="L9" s="28"/>
      <c r="M9" s="25"/>
      <c r="N9" s="28"/>
      <c r="O9" s="25"/>
      <c r="P9" s="28"/>
      <c r="Q9" s="29"/>
      <c r="R9" s="28"/>
    </row>
    <row r="10" customFormat="false" ht="54.75" hidden="false" customHeight="true" outlineLevel="0" collapsed="false">
      <c r="A10" s="24" t="s">
        <v>666</v>
      </c>
      <c r="B10" s="30" t="s">
        <v>18</v>
      </c>
      <c r="C10" s="30" t="s">
        <v>667</v>
      </c>
      <c r="D10" s="30" t="s">
        <v>668</v>
      </c>
      <c r="E10" s="30" t="s">
        <v>669</v>
      </c>
      <c r="F10" s="24" t="s">
        <v>90</v>
      </c>
      <c r="G10" s="30" t="s">
        <v>66</v>
      </c>
      <c r="H10" s="30" t="s">
        <v>85</v>
      </c>
      <c r="I10" s="30" t="s">
        <v>670</v>
      </c>
      <c r="J10" s="27" t="s">
        <v>69</v>
      </c>
      <c r="K10" s="25"/>
      <c r="L10" s="28"/>
      <c r="M10" s="30"/>
      <c r="N10" s="28"/>
      <c r="O10" s="25"/>
      <c r="P10" s="28"/>
      <c r="Q10" s="29"/>
      <c r="R10" s="28"/>
    </row>
    <row r="11" customFormat="false" ht="54.75" hidden="false" customHeight="true" outlineLevel="0" collapsed="false">
      <c r="A11" s="24" t="s">
        <v>671</v>
      </c>
      <c r="B11" s="25" t="s">
        <v>18</v>
      </c>
      <c r="C11" s="25" t="s">
        <v>672</v>
      </c>
      <c r="D11" s="25" t="s">
        <v>673</v>
      </c>
      <c r="E11" s="25" t="s">
        <v>247</v>
      </c>
      <c r="F11" s="31" t="s">
        <v>73</v>
      </c>
      <c r="G11" s="25" t="s">
        <v>74</v>
      </c>
      <c r="H11" s="25" t="s">
        <v>75</v>
      </c>
      <c r="I11" s="25" t="s">
        <v>674</v>
      </c>
      <c r="J11" s="27" t="s">
        <v>69</v>
      </c>
      <c r="K11" s="25"/>
      <c r="L11" s="28"/>
      <c r="M11" s="25"/>
      <c r="N11" s="28"/>
      <c r="O11" s="25"/>
      <c r="P11" s="28"/>
      <c r="Q11" s="29"/>
      <c r="R11" s="28"/>
    </row>
    <row r="12" customFormat="false" ht="54.75" hidden="false" customHeight="true" outlineLevel="0" collapsed="false">
      <c r="A12" s="24" t="s">
        <v>675</v>
      </c>
      <c r="B12" s="30" t="s">
        <v>18</v>
      </c>
      <c r="C12" s="30" t="s">
        <v>388</v>
      </c>
      <c r="D12" s="30" t="s">
        <v>676</v>
      </c>
      <c r="E12" s="30" t="s">
        <v>251</v>
      </c>
      <c r="F12" s="31" t="s">
        <v>73</v>
      </c>
      <c r="G12" s="30" t="s">
        <v>74</v>
      </c>
      <c r="H12" s="30" t="s">
        <v>677</v>
      </c>
      <c r="I12" s="30" t="s">
        <v>678</v>
      </c>
      <c r="J12" s="27" t="s">
        <v>69</v>
      </c>
      <c r="K12" s="25"/>
      <c r="L12" s="28"/>
      <c r="M12" s="30"/>
      <c r="N12" s="28"/>
      <c r="O12" s="25"/>
      <c r="P12" s="28"/>
      <c r="Q12" s="29"/>
      <c r="R12" s="28"/>
    </row>
    <row r="13" customFormat="false" ht="54.75" hidden="false" customHeight="true" outlineLevel="0" collapsed="false">
      <c r="A13" s="24" t="s">
        <v>679</v>
      </c>
      <c r="B13" s="25" t="s">
        <v>18</v>
      </c>
      <c r="C13" s="25" t="s">
        <v>388</v>
      </c>
      <c r="D13" s="25" t="s">
        <v>680</v>
      </c>
      <c r="E13" s="25" t="s">
        <v>255</v>
      </c>
      <c r="F13" s="24" t="s">
        <v>90</v>
      </c>
      <c r="G13" s="25" t="s">
        <v>74</v>
      </c>
      <c r="H13" s="25" t="s">
        <v>677</v>
      </c>
      <c r="I13" s="25" t="s">
        <v>681</v>
      </c>
      <c r="J13" s="27" t="s">
        <v>69</v>
      </c>
      <c r="K13" s="25"/>
      <c r="L13" s="28"/>
      <c r="M13" s="25"/>
      <c r="N13" s="28"/>
      <c r="O13" s="25"/>
      <c r="P13" s="28"/>
      <c r="Q13" s="29"/>
      <c r="R13" s="28"/>
    </row>
    <row r="14" customFormat="false" ht="54.75" hidden="false" customHeight="true" outlineLevel="0" collapsed="false">
      <c r="A14" s="24" t="s">
        <v>682</v>
      </c>
      <c r="B14" s="30" t="s">
        <v>18</v>
      </c>
      <c r="C14" s="30" t="s">
        <v>388</v>
      </c>
      <c r="D14" s="30" t="s">
        <v>683</v>
      </c>
      <c r="E14" s="30" t="s">
        <v>684</v>
      </c>
      <c r="F14" s="31" t="s">
        <v>73</v>
      </c>
      <c r="G14" s="30" t="s">
        <v>74</v>
      </c>
      <c r="H14" s="30" t="s">
        <v>677</v>
      </c>
      <c r="I14" s="30" t="s">
        <v>685</v>
      </c>
      <c r="J14" s="27" t="s">
        <v>69</v>
      </c>
      <c r="K14" s="25"/>
      <c r="L14" s="28"/>
      <c r="M14" s="30"/>
      <c r="N14" s="28"/>
      <c r="O14" s="25"/>
      <c r="P14" s="28"/>
      <c r="Q14" s="29"/>
      <c r="R14" s="28"/>
    </row>
    <row r="15" customFormat="false" ht="54.75" hidden="false" customHeight="true" outlineLevel="0" collapsed="false">
      <c r="A15" s="24" t="s">
        <v>686</v>
      </c>
      <c r="B15" s="25" t="s">
        <v>18</v>
      </c>
      <c r="C15" s="25" t="s">
        <v>687</v>
      </c>
      <c r="D15" s="25" t="s">
        <v>688</v>
      </c>
      <c r="E15" s="25" t="s">
        <v>689</v>
      </c>
      <c r="F15" s="24" t="s">
        <v>90</v>
      </c>
      <c r="G15" s="25" t="s">
        <v>74</v>
      </c>
      <c r="H15" s="25" t="s">
        <v>677</v>
      </c>
      <c r="I15" s="25" t="s">
        <v>690</v>
      </c>
      <c r="J15" s="27" t="s">
        <v>69</v>
      </c>
      <c r="K15" s="25"/>
      <c r="L15" s="28"/>
      <c r="M15" s="25"/>
      <c r="N15" s="28"/>
      <c r="O15" s="25"/>
      <c r="P15" s="28"/>
      <c r="Q15" s="29"/>
      <c r="R15" s="28"/>
    </row>
    <row r="16" customFormat="false" ht="54.75" hidden="false" customHeight="true" outlineLevel="0" collapsed="false">
      <c r="A16" s="24" t="s">
        <v>691</v>
      </c>
      <c r="B16" s="30" t="s">
        <v>18</v>
      </c>
      <c r="C16" s="30" t="s">
        <v>692</v>
      </c>
      <c r="D16" s="30" t="s">
        <v>693</v>
      </c>
      <c r="E16" s="30" t="s">
        <v>694</v>
      </c>
      <c r="F16" s="31" t="s">
        <v>73</v>
      </c>
      <c r="G16" s="30" t="s">
        <v>74</v>
      </c>
      <c r="H16" s="30" t="s">
        <v>75</v>
      </c>
      <c r="I16" s="30" t="s">
        <v>695</v>
      </c>
      <c r="J16" s="27" t="s">
        <v>69</v>
      </c>
      <c r="K16" s="25"/>
      <c r="L16" s="28"/>
      <c r="M16" s="30"/>
      <c r="N16" s="28"/>
      <c r="O16" s="25"/>
      <c r="P16" s="28"/>
      <c r="Q16" s="29"/>
      <c r="R16" s="28"/>
    </row>
    <row r="17" customFormat="false" ht="54.75" hidden="false" customHeight="true" outlineLevel="0" collapsed="false">
      <c r="A17" s="24" t="s">
        <v>696</v>
      </c>
      <c r="B17" s="25" t="s">
        <v>18</v>
      </c>
      <c r="C17" s="25" t="s">
        <v>692</v>
      </c>
      <c r="D17" s="25" t="s">
        <v>697</v>
      </c>
      <c r="E17" s="25" t="s">
        <v>698</v>
      </c>
      <c r="F17" s="26" t="s">
        <v>65</v>
      </c>
      <c r="G17" s="25" t="s">
        <v>74</v>
      </c>
      <c r="H17" s="25" t="s">
        <v>67</v>
      </c>
      <c r="I17" s="25" t="s">
        <v>699</v>
      </c>
      <c r="J17" s="27" t="s">
        <v>69</v>
      </c>
      <c r="K17" s="25"/>
      <c r="L17" s="28"/>
      <c r="M17" s="25"/>
      <c r="N17" s="28"/>
      <c r="O17" s="25"/>
      <c r="P17" s="28"/>
      <c r="Q17" s="29"/>
      <c r="R17" s="28"/>
    </row>
  </sheetData>
  <mergeCells count="1">
    <mergeCell ref="A1:R1"/>
  </mergeCells>
  <conditionalFormatting sqref="J3:J17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"Non-Compliant"</formula>
    </cfRule>
    <cfRule type="cellIs" priority="4" operator="equal" aboveAverage="0" equalAverage="0" bottom="0" percent="0" rank="0" text="" dxfId="2">
      <formula>"Partial"</formula>
    </cfRule>
  </conditionalFormatting>
  <dataValidations count="2">
    <dataValidation allowBlank="true" errorStyle="stop" operator="between" showDropDown="false" showErrorMessage="false" showInputMessage="false" sqref="J3:J17" type="list">
      <formula1>"Compliant,Partial,Non-Compliant,N/A,Not Tested"</formula1>
      <formula2>0</formula2>
    </dataValidation>
    <dataValidation allowBlank="true" errorStyle="stop" operator="between" showDropDown="false" showErrorMessage="false" showInputMessage="false" sqref="Q3:Q17" type="list">
      <formula1>"Satisfactory,Needs Improvement,Unsatisfactory,N/A"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20"/>
    <col collapsed="false" customWidth="true" hidden="false" outlineLevel="0" max="18" min="17" style="0" width="14"/>
  </cols>
  <sheetData>
    <row r="1" customFormat="false" ht="27.75" hidden="false" customHeight="true" outlineLevel="0" collapsed="false">
      <c r="A1" s="22" t="s">
        <v>700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39.75" hidden="false" customHeight="true" outlineLevel="0" collapsed="false">
      <c r="A2" s="23" t="s">
        <v>44</v>
      </c>
      <c r="B2" s="23" t="s">
        <v>3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</row>
    <row r="3" customFormat="false" ht="54.75" hidden="false" customHeight="true" outlineLevel="0" collapsed="false">
      <c r="A3" s="24" t="s">
        <v>701</v>
      </c>
      <c r="B3" s="25" t="s">
        <v>20</v>
      </c>
      <c r="C3" s="25" t="s">
        <v>702</v>
      </c>
      <c r="D3" s="25" t="s">
        <v>703</v>
      </c>
      <c r="E3" s="25" t="s">
        <v>704</v>
      </c>
      <c r="F3" s="31" t="s">
        <v>73</v>
      </c>
      <c r="G3" s="25" t="s">
        <v>74</v>
      </c>
      <c r="H3" s="25" t="s">
        <v>75</v>
      </c>
      <c r="I3" s="25" t="s">
        <v>705</v>
      </c>
      <c r="J3" s="27" t="s">
        <v>69</v>
      </c>
      <c r="K3" s="25"/>
      <c r="L3" s="28"/>
      <c r="M3" s="25"/>
      <c r="N3" s="28"/>
      <c r="O3" s="25"/>
      <c r="P3" s="28"/>
      <c r="Q3" s="29"/>
      <c r="R3" s="28"/>
    </row>
    <row r="4" customFormat="false" ht="54.75" hidden="false" customHeight="true" outlineLevel="0" collapsed="false">
      <c r="A4" s="24" t="s">
        <v>706</v>
      </c>
      <c r="B4" s="30" t="s">
        <v>20</v>
      </c>
      <c r="C4" s="30" t="s">
        <v>702</v>
      </c>
      <c r="D4" s="30" t="s">
        <v>707</v>
      </c>
      <c r="E4" s="30" t="s">
        <v>708</v>
      </c>
      <c r="F4" s="24" t="s">
        <v>90</v>
      </c>
      <c r="G4" s="30" t="s">
        <v>74</v>
      </c>
      <c r="H4" s="30" t="s">
        <v>75</v>
      </c>
      <c r="I4" s="30" t="s">
        <v>709</v>
      </c>
      <c r="J4" s="27" t="s">
        <v>69</v>
      </c>
      <c r="K4" s="25"/>
      <c r="L4" s="28"/>
      <c r="M4" s="30"/>
      <c r="N4" s="28"/>
      <c r="O4" s="25"/>
      <c r="P4" s="28"/>
      <c r="Q4" s="29"/>
      <c r="R4" s="28"/>
    </row>
    <row r="5" customFormat="false" ht="54.75" hidden="false" customHeight="true" outlineLevel="0" collapsed="false">
      <c r="A5" s="24" t="s">
        <v>710</v>
      </c>
      <c r="B5" s="25" t="s">
        <v>20</v>
      </c>
      <c r="C5" s="25" t="s">
        <v>711</v>
      </c>
      <c r="D5" s="25" t="s">
        <v>712</v>
      </c>
      <c r="E5" s="25" t="s">
        <v>713</v>
      </c>
      <c r="F5" s="31" t="s">
        <v>73</v>
      </c>
      <c r="G5" s="25" t="s">
        <v>74</v>
      </c>
      <c r="H5" s="25" t="s">
        <v>75</v>
      </c>
      <c r="I5" s="25" t="s">
        <v>714</v>
      </c>
      <c r="J5" s="27" t="s">
        <v>69</v>
      </c>
      <c r="K5" s="25"/>
      <c r="L5" s="28"/>
      <c r="M5" s="25"/>
      <c r="N5" s="28"/>
      <c r="O5" s="25"/>
      <c r="P5" s="28"/>
      <c r="Q5" s="29"/>
      <c r="R5" s="28"/>
    </row>
    <row r="6" customFormat="false" ht="54.75" hidden="false" customHeight="true" outlineLevel="0" collapsed="false">
      <c r="A6" s="24" t="s">
        <v>715</v>
      </c>
      <c r="B6" s="30" t="s">
        <v>20</v>
      </c>
      <c r="C6" s="30" t="s">
        <v>711</v>
      </c>
      <c r="D6" s="30" t="s">
        <v>716</v>
      </c>
      <c r="E6" s="30" t="s">
        <v>717</v>
      </c>
      <c r="F6" s="26" t="s">
        <v>65</v>
      </c>
      <c r="G6" s="30" t="s">
        <v>74</v>
      </c>
      <c r="H6" s="30" t="s">
        <v>75</v>
      </c>
      <c r="I6" s="30" t="s">
        <v>718</v>
      </c>
      <c r="J6" s="27" t="s">
        <v>69</v>
      </c>
      <c r="K6" s="25"/>
      <c r="L6" s="28"/>
      <c r="M6" s="30"/>
      <c r="N6" s="28"/>
      <c r="O6" s="25"/>
      <c r="P6" s="28"/>
      <c r="Q6" s="29"/>
      <c r="R6" s="28"/>
    </row>
    <row r="7" customFormat="false" ht="54.75" hidden="false" customHeight="true" outlineLevel="0" collapsed="false">
      <c r="A7" s="24" t="s">
        <v>719</v>
      </c>
      <c r="B7" s="25" t="s">
        <v>20</v>
      </c>
      <c r="C7" s="25" t="s">
        <v>720</v>
      </c>
      <c r="D7" s="25" t="s">
        <v>721</v>
      </c>
      <c r="E7" s="25" t="s">
        <v>722</v>
      </c>
      <c r="F7" s="26" t="s">
        <v>65</v>
      </c>
      <c r="G7" s="25" t="s">
        <v>74</v>
      </c>
      <c r="H7" s="25" t="s">
        <v>67</v>
      </c>
      <c r="I7" s="25" t="s">
        <v>723</v>
      </c>
      <c r="J7" s="27" t="s">
        <v>69</v>
      </c>
      <c r="K7" s="25"/>
      <c r="L7" s="28"/>
      <c r="M7" s="25"/>
      <c r="N7" s="28"/>
      <c r="O7" s="25"/>
      <c r="P7" s="28"/>
      <c r="Q7" s="29"/>
      <c r="R7" s="28"/>
    </row>
    <row r="8" customFormat="false" ht="54.75" hidden="false" customHeight="true" outlineLevel="0" collapsed="false">
      <c r="A8" s="24" t="s">
        <v>724</v>
      </c>
      <c r="B8" s="30" t="s">
        <v>20</v>
      </c>
      <c r="C8" s="30" t="s">
        <v>725</v>
      </c>
      <c r="D8" s="30" t="s">
        <v>726</v>
      </c>
      <c r="E8" s="30" t="s">
        <v>727</v>
      </c>
      <c r="F8" s="24" t="s">
        <v>90</v>
      </c>
      <c r="G8" s="30" t="s">
        <v>66</v>
      </c>
      <c r="H8" s="30" t="s">
        <v>85</v>
      </c>
      <c r="I8" s="30" t="s">
        <v>728</v>
      </c>
      <c r="J8" s="27" t="s">
        <v>69</v>
      </c>
      <c r="K8" s="25"/>
      <c r="L8" s="28"/>
      <c r="M8" s="30"/>
      <c r="N8" s="28"/>
      <c r="O8" s="25"/>
      <c r="P8" s="28"/>
      <c r="Q8" s="29"/>
      <c r="R8" s="28"/>
    </row>
    <row r="9" customFormat="false" ht="54.75" hidden="false" customHeight="true" outlineLevel="0" collapsed="false">
      <c r="A9" s="24" t="s">
        <v>729</v>
      </c>
      <c r="B9" s="25" t="s">
        <v>20</v>
      </c>
      <c r="C9" s="25" t="s">
        <v>730</v>
      </c>
      <c r="D9" s="25" t="s">
        <v>731</v>
      </c>
      <c r="E9" s="25" t="s">
        <v>732</v>
      </c>
      <c r="F9" s="26" t="s">
        <v>65</v>
      </c>
      <c r="G9" s="25" t="s">
        <v>74</v>
      </c>
      <c r="H9" s="25" t="s">
        <v>75</v>
      </c>
      <c r="I9" s="25" t="s">
        <v>733</v>
      </c>
      <c r="J9" s="27" t="s">
        <v>69</v>
      </c>
      <c r="K9" s="25"/>
      <c r="L9" s="28"/>
      <c r="M9" s="25"/>
      <c r="N9" s="28"/>
      <c r="O9" s="25"/>
      <c r="P9" s="28"/>
      <c r="Q9" s="29"/>
      <c r="R9" s="28"/>
    </row>
    <row r="10" customFormat="false" ht="54.75" hidden="false" customHeight="true" outlineLevel="0" collapsed="false">
      <c r="A10" s="24" t="s">
        <v>734</v>
      </c>
      <c r="B10" s="30" t="s">
        <v>20</v>
      </c>
      <c r="C10" s="30" t="s">
        <v>730</v>
      </c>
      <c r="D10" s="30" t="s">
        <v>735</v>
      </c>
      <c r="E10" s="30" t="s">
        <v>732</v>
      </c>
      <c r="F10" s="26" t="s">
        <v>65</v>
      </c>
      <c r="G10" s="30" t="s">
        <v>74</v>
      </c>
      <c r="H10" s="30" t="s">
        <v>75</v>
      </c>
      <c r="I10" s="30" t="s">
        <v>736</v>
      </c>
      <c r="J10" s="27" t="s">
        <v>69</v>
      </c>
      <c r="K10" s="25"/>
      <c r="L10" s="28"/>
      <c r="M10" s="30"/>
      <c r="N10" s="28"/>
      <c r="O10" s="25"/>
      <c r="P10" s="28"/>
      <c r="Q10" s="29"/>
      <c r="R10" s="28"/>
    </row>
    <row r="11" customFormat="false" ht="54.75" hidden="false" customHeight="true" outlineLevel="0" collapsed="false">
      <c r="A11" s="24" t="s">
        <v>737</v>
      </c>
      <c r="B11" s="25" t="s">
        <v>20</v>
      </c>
      <c r="C11" s="25" t="s">
        <v>738</v>
      </c>
      <c r="D11" s="25" t="s">
        <v>739</v>
      </c>
      <c r="E11" s="25" t="s">
        <v>740</v>
      </c>
      <c r="F11" s="31" t="s">
        <v>73</v>
      </c>
      <c r="G11" s="25" t="s">
        <v>74</v>
      </c>
      <c r="H11" s="25" t="s">
        <v>75</v>
      </c>
      <c r="I11" s="25" t="s">
        <v>741</v>
      </c>
      <c r="J11" s="27" t="s">
        <v>69</v>
      </c>
      <c r="K11" s="25"/>
      <c r="L11" s="28"/>
      <c r="M11" s="25"/>
      <c r="N11" s="28"/>
      <c r="O11" s="25"/>
      <c r="P11" s="28"/>
      <c r="Q11" s="29"/>
      <c r="R11" s="28"/>
    </row>
    <row r="12" customFormat="false" ht="54.75" hidden="false" customHeight="true" outlineLevel="0" collapsed="false">
      <c r="A12" s="24" t="s">
        <v>742</v>
      </c>
      <c r="B12" s="30" t="s">
        <v>20</v>
      </c>
      <c r="C12" s="30" t="s">
        <v>738</v>
      </c>
      <c r="D12" s="30" t="s">
        <v>743</v>
      </c>
      <c r="E12" s="30" t="s">
        <v>264</v>
      </c>
      <c r="F12" s="31" t="s">
        <v>73</v>
      </c>
      <c r="G12" s="30" t="s">
        <v>74</v>
      </c>
      <c r="H12" s="30" t="s">
        <v>75</v>
      </c>
      <c r="I12" s="30" t="s">
        <v>744</v>
      </c>
      <c r="J12" s="27" t="s">
        <v>69</v>
      </c>
      <c r="K12" s="25"/>
      <c r="L12" s="28"/>
      <c r="M12" s="30"/>
      <c r="N12" s="28"/>
      <c r="O12" s="25"/>
      <c r="P12" s="28"/>
      <c r="Q12" s="29"/>
      <c r="R12" s="28"/>
    </row>
    <row r="13" customFormat="false" ht="54.75" hidden="false" customHeight="true" outlineLevel="0" collapsed="false">
      <c r="A13" s="24" t="s">
        <v>745</v>
      </c>
      <c r="B13" s="25" t="s">
        <v>20</v>
      </c>
      <c r="C13" s="25" t="s">
        <v>746</v>
      </c>
      <c r="D13" s="25" t="s">
        <v>747</v>
      </c>
      <c r="E13" s="25" t="s">
        <v>748</v>
      </c>
      <c r="F13" s="31" t="s">
        <v>73</v>
      </c>
      <c r="G13" s="25" t="s">
        <v>74</v>
      </c>
      <c r="H13" s="25" t="s">
        <v>75</v>
      </c>
      <c r="I13" s="25" t="s">
        <v>749</v>
      </c>
      <c r="J13" s="27" t="s">
        <v>69</v>
      </c>
      <c r="K13" s="25"/>
      <c r="L13" s="28"/>
      <c r="M13" s="25"/>
      <c r="N13" s="28"/>
      <c r="O13" s="25"/>
      <c r="P13" s="28"/>
      <c r="Q13" s="29"/>
      <c r="R13" s="28"/>
    </row>
    <row r="14" customFormat="false" ht="54.75" hidden="false" customHeight="true" outlineLevel="0" collapsed="false">
      <c r="A14" s="24" t="s">
        <v>750</v>
      </c>
      <c r="B14" s="30" t="s">
        <v>20</v>
      </c>
      <c r="C14" s="30" t="s">
        <v>746</v>
      </c>
      <c r="D14" s="30" t="s">
        <v>751</v>
      </c>
      <c r="E14" s="30" t="s">
        <v>752</v>
      </c>
      <c r="F14" s="24" t="s">
        <v>90</v>
      </c>
      <c r="G14" s="30" t="s">
        <v>74</v>
      </c>
      <c r="H14" s="30" t="s">
        <v>753</v>
      </c>
      <c r="I14" s="30" t="s">
        <v>754</v>
      </c>
      <c r="J14" s="27" t="s">
        <v>69</v>
      </c>
      <c r="K14" s="25"/>
      <c r="L14" s="28"/>
      <c r="M14" s="30"/>
      <c r="N14" s="28"/>
      <c r="O14" s="25"/>
      <c r="P14" s="28"/>
      <c r="Q14" s="29"/>
      <c r="R14" s="28"/>
    </row>
    <row r="15" customFormat="false" ht="54.75" hidden="false" customHeight="true" outlineLevel="0" collapsed="false">
      <c r="A15" s="24" t="s">
        <v>755</v>
      </c>
      <c r="B15" s="25" t="s">
        <v>20</v>
      </c>
      <c r="C15" s="25" t="s">
        <v>756</v>
      </c>
      <c r="D15" s="25" t="s">
        <v>757</v>
      </c>
      <c r="E15" s="25" t="s">
        <v>150</v>
      </c>
      <c r="F15" s="31" t="s">
        <v>73</v>
      </c>
      <c r="G15" s="25" t="s">
        <v>66</v>
      </c>
      <c r="H15" s="25" t="s">
        <v>280</v>
      </c>
      <c r="I15" s="25" t="s">
        <v>758</v>
      </c>
      <c r="J15" s="27" t="s">
        <v>69</v>
      </c>
      <c r="K15" s="25"/>
      <c r="L15" s="28"/>
      <c r="M15" s="25"/>
      <c r="N15" s="28"/>
      <c r="O15" s="25"/>
      <c r="P15" s="28"/>
      <c r="Q15" s="29"/>
      <c r="R15" s="28"/>
    </row>
    <row r="16" customFormat="false" ht="54.75" hidden="false" customHeight="true" outlineLevel="0" collapsed="false">
      <c r="A16" s="24" t="s">
        <v>759</v>
      </c>
      <c r="B16" s="30" t="s">
        <v>20</v>
      </c>
      <c r="C16" s="30" t="s">
        <v>756</v>
      </c>
      <c r="D16" s="30" t="s">
        <v>760</v>
      </c>
      <c r="E16" s="30" t="s">
        <v>150</v>
      </c>
      <c r="F16" s="26" t="s">
        <v>65</v>
      </c>
      <c r="G16" s="30" t="s">
        <v>74</v>
      </c>
      <c r="H16" s="30" t="s">
        <v>67</v>
      </c>
      <c r="I16" s="30" t="s">
        <v>761</v>
      </c>
      <c r="J16" s="27" t="s">
        <v>69</v>
      </c>
      <c r="K16" s="25"/>
      <c r="L16" s="28"/>
      <c r="M16" s="30"/>
      <c r="N16" s="28"/>
      <c r="O16" s="25"/>
      <c r="P16" s="28"/>
      <c r="Q16" s="29"/>
      <c r="R16" s="28"/>
    </row>
    <row r="17" customFormat="false" ht="54.75" hidden="false" customHeight="true" outlineLevel="0" collapsed="false">
      <c r="A17" s="24" t="s">
        <v>762</v>
      </c>
      <c r="B17" s="25" t="s">
        <v>20</v>
      </c>
      <c r="C17" s="25" t="s">
        <v>158</v>
      </c>
      <c r="D17" s="25" t="s">
        <v>763</v>
      </c>
      <c r="E17" s="25" t="s">
        <v>764</v>
      </c>
      <c r="F17" s="31" t="s">
        <v>73</v>
      </c>
      <c r="G17" s="25" t="s">
        <v>66</v>
      </c>
      <c r="H17" s="25" t="s">
        <v>765</v>
      </c>
      <c r="I17" s="25" t="s">
        <v>766</v>
      </c>
      <c r="J17" s="27" t="s">
        <v>69</v>
      </c>
      <c r="K17" s="25"/>
      <c r="L17" s="28"/>
      <c r="M17" s="25"/>
      <c r="N17" s="28"/>
      <c r="O17" s="25"/>
      <c r="P17" s="28"/>
      <c r="Q17" s="29"/>
      <c r="R17" s="28"/>
    </row>
    <row r="18" customFormat="false" ht="54.75" hidden="false" customHeight="true" outlineLevel="0" collapsed="false">
      <c r="A18" s="24" t="s">
        <v>767</v>
      </c>
      <c r="B18" s="30" t="s">
        <v>20</v>
      </c>
      <c r="C18" s="30" t="s">
        <v>768</v>
      </c>
      <c r="D18" s="30" t="s">
        <v>769</v>
      </c>
      <c r="E18" s="30" t="s">
        <v>770</v>
      </c>
      <c r="F18" s="24" t="s">
        <v>90</v>
      </c>
      <c r="G18" s="30" t="s">
        <v>66</v>
      </c>
      <c r="H18" s="30" t="s">
        <v>75</v>
      </c>
      <c r="I18" s="30" t="s">
        <v>771</v>
      </c>
      <c r="J18" s="27" t="s">
        <v>69</v>
      </c>
      <c r="K18" s="25"/>
      <c r="L18" s="28"/>
      <c r="M18" s="30"/>
      <c r="N18" s="28"/>
      <c r="O18" s="25"/>
      <c r="P18" s="28"/>
      <c r="Q18" s="29"/>
      <c r="R18" s="28"/>
    </row>
  </sheetData>
  <mergeCells count="1">
    <mergeCell ref="A1:R1"/>
  </mergeCells>
  <conditionalFormatting sqref="J3:J18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"Non-Compliant"</formula>
    </cfRule>
    <cfRule type="cellIs" priority="4" operator="equal" aboveAverage="0" equalAverage="0" bottom="0" percent="0" rank="0" text="" dxfId="2">
      <formula>"Partial"</formula>
    </cfRule>
  </conditionalFormatting>
  <dataValidations count="2">
    <dataValidation allowBlank="true" errorStyle="stop" operator="between" showDropDown="false" showErrorMessage="false" showInputMessage="false" sqref="J3:J18" type="list">
      <formula1>"Compliant,Partial,Non-Compliant,N/A,Not Tested"</formula1>
      <formula2>0</formula2>
    </dataValidation>
    <dataValidation allowBlank="true" errorStyle="stop" operator="between" showDropDown="false" showErrorMessage="false" showInputMessage="false" sqref="Q3:Q18" type="list">
      <formula1>"Satisfactory,Needs Improvement,Unsatisfactory,N/A"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20"/>
    <col collapsed="false" customWidth="true" hidden="false" outlineLevel="0" max="18" min="17" style="0" width="14"/>
  </cols>
  <sheetData>
    <row r="1" customFormat="false" ht="27.75" hidden="false" customHeight="true" outlineLevel="0" collapsed="false">
      <c r="A1" s="22" t="s">
        <v>772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39.75" hidden="false" customHeight="true" outlineLevel="0" collapsed="false">
      <c r="A2" s="23" t="s">
        <v>44</v>
      </c>
      <c r="B2" s="23" t="s">
        <v>3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</row>
    <row r="3" customFormat="false" ht="54.75" hidden="false" customHeight="true" outlineLevel="0" collapsed="false">
      <c r="A3" s="24" t="s">
        <v>773</v>
      </c>
      <c r="B3" s="25" t="s">
        <v>21</v>
      </c>
      <c r="C3" s="25" t="s">
        <v>774</v>
      </c>
      <c r="D3" s="25" t="s">
        <v>775</v>
      </c>
      <c r="E3" s="25" t="s">
        <v>776</v>
      </c>
      <c r="F3" s="26" t="s">
        <v>65</v>
      </c>
      <c r="G3" s="25" t="s">
        <v>74</v>
      </c>
      <c r="H3" s="25" t="s">
        <v>67</v>
      </c>
      <c r="I3" s="25" t="s">
        <v>777</v>
      </c>
      <c r="J3" s="27" t="s">
        <v>69</v>
      </c>
      <c r="K3" s="25"/>
      <c r="L3" s="28"/>
      <c r="M3" s="25"/>
      <c r="N3" s="28"/>
      <c r="O3" s="25"/>
      <c r="P3" s="28"/>
      <c r="Q3" s="29"/>
      <c r="R3" s="28"/>
    </row>
    <row r="4" customFormat="false" ht="54.75" hidden="false" customHeight="true" outlineLevel="0" collapsed="false">
      <c r="A4" s="24" t="s">
        <v>778</v>
      </c>
      <c r="B4" s="30" t="s">
        <v>21</v>
      </c>
      <c r="C4" s="30" t="s">
        <v>774</v>
      </c>
      <c r="D4" s="30" t="s">
        <v>779</v>
      </c>
      <c r="E4" s="30" t="s">
        <v>780</v>
      </c>
      <c r="F4" s="26" t="s">
        <v>65</v>
      </c>
      <c r="G4" s="30" t="s">
        <v>74</v>
      </c>
      <c r="H4" s="30" t="s">
        <v>67</v>
      </c>
      <c r="I4" s="30" t="s">
        <v>781</v>
      </c>
      <c r="J4" s="27" t="s">
        <v>69</v>
      </c>
      <c r="K4" s="25"/>
      <c r="L4" s="28"/>
      <c r="M4" s="30"/>
      <c r="N4" s="28"/>
      <c r="O4" s="25"/>
      <c r="P4" s="28"/>
      <c r="Q4" s="29"/>
      <c r="R4" s="28"/>
    </row>
    <row r="5" customFormat="false" ht="54.75" hidden="false" customHeight="true" outlineLevel="0" collapsed="false">
      <c r="A5" s="24" t="s">
        <v>782</v>
      </c>
      <c r="B5" s="25" t="s">
        <v>21</v>
      </c>
      <c r="C5" s="25" t="s">
        <v>774</v>
      </c>
      <c r="D5" s="25" t="s">
        <v>783</v>
      </c>
      <c r="E5" s="25" t="s">
        <v>784</v>
      </c>
      <c r="F5" s="31" t="s">
        <v>73</v>
      </c>
      <c r="G5" s="25" t="s">
        <v>74</v>
      </c>
      <c r="H5" s="25" t="s">
        <v>75</v>
      </c>
      <c r="I5" s="25" t="s">
        <v>785</v>
      </c>
      <c r="J5" s="27" t="s">
        <v>69</v>
      </c>
      <c r="K5" s="25"/>
      <c r="L5" s="28"/>
      <c r="M5" s="25"/>
      <c r="N5" s="28"/>
      <c r="O5" s="25"/>
      <c r="P5" s="28"/>
      <c r="Q5" s="29"/>
      <c r="R5" s="28"/>
    </row>
    <row r="6" customFormat="false" ht="54.75" hidden="false" customHeight="true" outlineLevel="0" collapsed="false">
      <c r="A6" s="24" t="s">
        <v>786</v>
      </c>
      <c r="B6" s="30" t="s">
        <v>21</v>
      </c>
      <c r="C6" s="30" t="s">
        <v>787</v>
      </c>
      <c r="D6" s="30" t="s">
        <v>788</v>
      </c>
      <c r="E6" s="30" t="s">
        <v>789</v>
      </c>
      <c r="F6" s="31" t="s">
        <v>73</v>
      </c>
      <c r="G6" s="30" t="s">
        <v>66</v>
      </c>
      <c r="H6" s="30" t="s">
        <v>75</v>
      </c>
      <c r="I6" s="30" t="s">
        <v>790</v>
      </c>
      <c r="J6" s="27" t="s">
        <v>69</v>
      </c>
      <c r="K6" s="25"/>
      <c r="L6" s="28"/>
      <c r="M6" s="30"/>
      <c r="N6" s="28"/>
      <c r="O6" s="25"/>
      <c r="P6" s="28"/>
      <c r="Q6" s="29"/>
      <c r="R6" s="28"/>
    </row>
    <row r="7" customFormat="false" ht="54.75" hidden="false" customHeight="true" outlineLevel="0" collapsed="false">
      <c r="A7" s="24" t="s">
        <v>791</v>
      </c>
      <c r="B7" s="25" t="s">
        <v>21</v>
      </c>
      <c r="C7" s="25" t="s">
        <v>787</v>
      </c>
      <c r="D7" s="25" t="s">
        <v>792</v>
      </c>
      <c r="E7" s="25" t="s">
        <v>793</v>
      </c>
      <c r="F7" s="31" t="s">
        <v>73</v>
      </c>
      <c r="G7" s="25" t="s">
        <v>74</v>
      </c>
      <c r="H7" s="25" t="s">
        <v>75</v>
      </c>
      <c r="I7" s="25" t="s">
        <v>794</v>
      </c>
      <c r="J7" s="27" t="s">
        <v>69</v>
      </c>
      <c r="K7" s="25"/>
      <c r="L7" s="28"/>
      <c r="M7" s="25"/>
      <c r="N7" s="28"/>
      <c r="O7" s="25"/>
      <c r="P7" s="28"/>
      <c r="Q7" s="29"/>
      <c r="R7" s="28"/>
    </row>
    <row r="8" customFormat="false" ht="54.75" hidden="false" customHeight="true" outlineLevel="0" collapsed="false">
      <c r="A8" s="24" t="s">
        <v>795</v>
      </c>
      <c r="B8" s="30" t="s">
        <v>21</v>
      </c>
      <c r="C8" s="30" t="s">
        <v>787</v>
      </c>
      <c r="D8" s="30" t="s">
        <v>796</v>
      </c>
      <c r="E8" s="30" t="s">
        <v>797</v>
      </c>
      <c r="F8" s="24" t="s">
        <v>90</v>
      </c>
      <c r="G8" s="30" t="s">
        <v>66</v>
      </c>
      <c r="H8" s="30" t="s">
        <v>85</v>
      </c>
      <c r="I8" s="30" t="s">
        <v>798</v>
      </c>
      <c r="J8" s="27" t="s">
        <v>69</v>
      </c>
      <c r="K8" s="25"/>
      <c r="L8" s="28"/>
      <c r="M8" s="30"/>
      <c r="N8" s="28"/>
      <c r="O8" s="25"/>
      <c r="P8" s="28"/>
      <c r="Q8" s="29"/>
      <c r="R8" s="28"/>
    </row>
    <row r="9" customFormat="false" ht="54.75" hidden="false" customHeight="true" outlineLevel="0" collapsed="false">
      <c r="A9" s="24" t="s">
        <v>799</v>
      </c>
      <c r="B9" s="25" t="s">
        <v>21</v>
      </c>
      <c r="C9" s="25" t="s">
        <v>800</v>
      </c>
      <c r="D9" s="25" t="s">
        <v>801</v>
      </c>
      <c r="E9" s="25" t="s">
        <v>802</v>
      </c>
      <c r="F9" s="26" t="s">
        <v>65</v>
      </c>
      <c r="G9" s="25" t="s">
        <v>74</v>
      </c>
      <c r="H9" s="25" t="s">
        <v>75</v>
      </c>
      <c r="I9" s="25" t="s">
        <v>803</v>
      </c>
      <c r="J9" s="27" t="s">
        <v>69</v>
      </c>
      <c r="K9" s="25"/>
      <c r="L9" s="28"/>
      <c r="M9" s="25"/>
      <c r="N9" s="28"/>
      <c r="O9" s="25"/>
      <c r="P9" s="28"/>
      <c r="Q9" s="29"/>
      <c r="R9" s="28"/>
    </row>
    <row r="10" customFormat="false" ht="54.75" hidden="false" customHeight="true" outlineLevel="0" collapsed="false">
      <c r="A10" s="24" t="s">
        <v>804</v>
      </c>
      <c r="B10" s="30" t="s">
        <v>21</v>
      </c>
      <c r="C10" s="30" t="s">
        <v>800</v>
      </c>
      <c r="D10" s="30" t="s">
        <v>805</v>
      </c>
      <c r="E10" s="30" t="s">
        <v>806</v>
      </c>
      <c r="F10" s="26" t="s">
        <v>65</v>
      </c>
      <c r="G10" s="30" t="s">
        <v>66</v>
      </c>
      <c r="H10" s="30" t="s">
        <v>280</v>
      </c>
      <c r="I10" s="30" t="s">
        <v>807</v>
      </c>
      <c r="J10" s="27" t="s">
        <v>69</v>
      </c>
      <c r="K10" s="25"/>
      <c r="L10" s="28"/>
      <c r="M10" s="30"/>
      <c r="N10" s="28"/>
      <c r="O10" s="25"/>
      <c r="P10" s="28"/>
      <c r="Q10" s="29"/>
      <c r="R10" s="28"/>
    </row>
    <row r="11" customFormat="false" ht="54.75" hidden="false" customHeight="true" outlineLevel="0" collapsed="false">
      <c r="A11" s="24" t="s">
        <v>808</v>
      </c>
      <c r="B11" s="25" t="s">
        <v>21</v>
      </c>
      <c r="C11" s="25" t="s">
        <v>800</v>
      </c>
      <c r="D11" s="25" t="s">
        <v>809</v>
      </c>
      <c r="E11" s="25" t="s">
        <v>810</v>
      </c>
      <c r="F11" s="31" t="s">
        <v>73</v>
      </c>
      <c r="G11" s="25" t="s">
        <v>66</v>
      </c>
      <c r="H11" s="25" t="s">
        <v>85</v>
      </c>
      <c r="I11" s="25" t="s">
        <v>811</v>
      </c>
      <c r="J11" s="27" t="s">
        <v>69</v>
      </c>
      <c r="K11" s="25"/>
      <c r="L11" s="28"/>
      <c r="M11" s="25"/>
      <c r="N11" s="28"/>
      <c r="O11" s="25"/>
      <c r="P11" s="28"/>
      <c r="Q11" s="29"/>
      <c r="R11" s="28"/>
    </row>
    <row r="12" customFormat="false" ht="54.75" hidden="false" customHeight="true" outlineLevel="0" collapsed="false">
      <c r="A12" s="24" t="s">
        <v>812</v>
      </c>
      <c r="B12" s="30" t="s">
        <v>21</v>
      </c>
      <c r="C12" s="30" t="s">
        <v>813</v>
      </c>
      <c r="D12" s="30" t="s">
        <v>814</v>
      </c>
      <c r="E12" s="30" t="s">
        <v>815</v>
      </c>
      <c r="F12" s="26" t="s">
        <v>65</v>
      </c>
      <c r="G12" s="30" t="s">
        <v>74</v>
      </c>
      <c r="H12" s="30" t="s">
        <v>75</v>
      </c>
      <c r="I12" s="30" t="s">
        <v>816</v>
      </c>
      <c r="J12" s="27" t="s">
        <v>69</v>
      </c>
      <c r="K12" s="25"/>
      <c r="L12" s="28"/>
      <c r="M12" s="30"/>
      <c r="N12" s="28"/>
      <c r="O12" s="25"/>
      <c r="P12" s="28"/>
      <c r="Q12" s="29"/>
      <c r="R12" s="28"/>
    </row>
    <row r="13" customFormat="false" ht="54.75" hidden="false" customHeight="true" outlineLevel="0" collapsed="false">
      <c r="A13" s="24" t="s">
        <v>817</v>
      </c>
      <c r="B13" s="25" t="s">
        <v>21</v>
      </c>
      <c r="C13" s="25" t="s">
        <v>813</v>
      </c>
      <c r="D13" s="25" t="s">
        <v>818</v>
      </c>
      <c r="E13" s="25" t="s">
        <v>819</v>
      </c>
      <c r="F13" s="31" t="s">
        <v>73</v>
      </c>
      <c r="G13" s="25" t="s">
        <v>74</v>
      </c>
      <c r="H13" s="25" t="s">
        <v>75</v>
      </c>
      <c r="I13" s="25" t="s">
        <v>820</v>
      </c>
      <c r="J13" s="27" t="s">
        <v>69</v>
      </c>
      <c r="K13" s="25"/>
      <c r="L13" s="28"/>
      <c r="M13" s="25"/>
      <c r="N13" s="28"/>
      <c r="O13" s="25"/>
      <c r="P13" s="28"/>
      <c r="Q13" s="29"/>
      <c r="R13" s="28"/>
    </row>
    <row r="14" customFormat="false" ht="54.75" hidden="false" customHeight="true" outlineLevel="0" collapsed="false">
      <c r="A14" s="24" t="s">
        <v>821</v>
      </c>
      <c r="B14" s="30" t="s">
        <v>21</v>
      </c>
      <c r="C14" s="30" t="s">
        <v>822</v>
      </c>
      <c r="D14" s="30" t="s">
        <v>823</v>
      </c>
      <c r="E14" s="30" t="s">
        <v>824</v>
      </c>
      <c r="F14" s="26" t="s">
        <v>65</v>
      </c>
      <c r="G14" s="30" t="s">
        <v>74</v>
      </c>
      <c r="H14" s="30" t="s">
        <v>75</v>
      </c>
      <c r="I14" s="30" t="s">
        <v>825</v>
      </c>
      <c r="J14" s="27" t="s">
        <v>69</v>
      </c>
      <c r="K14" s="25"/>
      <c r="L14" s="28"/>
      <c r="M14" s="30"/>
      <c r="N14" s="28"/>
      <c r="O14" s="25"/>
      <c r="P14" s="28"/>
      <c r="Q14" s="29"/>
      <c r="R14" s="28"/>
    </row>
    <row r="15" customFormat="false" ht="54.75" hidden="false" customHeight="true" outlineLevel="0" collapsed="false">
      <c r="A15" s="24" t="s">
        <v>826</v>
      </c>
      <c r="B15" s="25" t="s">
        <v>21</v>
      </c>
      <c r="C15" s="25" t="s">
        <v>822</v>
      </c>
      <c r="D15" s="25" t="s">
        <v>827</v>
      </c>
      <c r="E15" s="25" t="s">
        <v>828</v>
      </c>
      <c r="F15" s="31" t="s">
        <v>73</v>
      </c>
      <c r="G15" s="25" t="s">
        <v>74</v>
      </c>
      <c r="H15" s="25" t="s">
        <v>75</v>
      </c>
      <c r="I15" s="25" t="s">
        <v>829</v>
      </c>
      <c r="J15" s="27" t="s">
        <v>69</v>
      </c>
      <c r="K15" s="25"/>
      <c r="L15" s="28"/>
      <c r="M15" s="25"/>
      <c r="N15" s="28"/>
      <c r="O15" s="25"/>
      <c r="P15" s="28"/>
      <c r="Q15" s="29"/>
      <c r="R15" s="28"/>
    </row>
    <row r="16" customFormat="false" ht="54.75" hidden="false" customHeight="true" outlineLevel="0" collapsed="false">
      <c r="A16" s="24" t="s">
        <v>830</v>
      </c>
      <c r="B16" s="30" t="s">
        <v>21</v>
      </c>
      <c r="C16" s="30" t="s">
        <v>831</v>
      </c>
      <c r="D16" s="30" t="s">
        <v>832</v>
      </c>
      <c r="E16" s="30" t="s">
        <v>833</v>
      </c>
      <c r="F16" s="31" t="s">
        <v>73</v>
      </c>
      <c r="G16" s="30" t="s">
        <v>74</v>
      </c>
      <c r="H16" s="30" t="s">
        <v>75</v>
      </c>
      <c r="I16" s="30" t="s">
        <v>834</v>
      </c>
      <c r="J16" s="27" t="s">
        <v>69</v>
      </c>
      <c r="K16" s="25"/>
      <c r="L16" s="28"/>
      <c r="M16" s="30"/>
      <c r="N16" s="28"/>
      <c r="O16" s="25"/>
      <c r="P16" s="28"/>
      <c r="Q16" s="29"/>
      <c r="R16" s="28"/>
    </row>
    <row r="17" customFormat="false" ht="54.75" hidden="false" customHeight="true" outlineLevel="0" collapsed="false">
      <c r="A17" s="24" t="s">
        <v>835</v>
      </c>
      <c r="B17" s="25" t="s">
        <v>21</v>
      </c>
      <c r="C17" s="25" t="s">
        <v>836</v>
      </c>
      <c r="D17" s="25" t="s">
        <v>837</v>
      </c>
      <c r="E17" s="25" t="s">
        <v>838</v>
      </c>
      <c r="F17" s="31" t="s">
        <v>73</v>
      </c>
      <c r="G17" s="25" t="s">
        <v>74</v>
      </c>
      <c r="H17" s="25" t="s">
        <v>839</v>
      </c>
      <c r="I17" s="25" t="s">
        <v>840</v>
      </c>
      <c r="J17" s="27" t="s">
        <v>69</v>
      </c>
      <c r="K17" s="25"/>
      <c r="L17" s="28"/>
      <c r="M17" s="25"/>
      <c r="N17" s="28"/>
      <c r="O17" s="25"/>
      <c r="P17" s="28"/>
      <c r="Q17" s="29"/>
      <c r="R17" s="28"/>
    </row>
  </sheetData>
  <mergeCells count="1">
    <mergeCell ref="A1:R1"/>
  </mergeCells>
  <conditionalFormatting sqref="J3:J17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"Non-Compliant"</formula>
    </cfRule>
    <cfRule type="cellIs" priority="4" operator="equal" aboveAverage="0" equalAverage="0" bottom="0" percent="0" rank="0" text="" dxfId="2">
      <formula>"Partial"</formula>
    </cfRule>
  </conditionalFormatting>
  <dataValidations count="2">
    <dataValidation allowBlank="true" errorStyle="stop" operator="between" showDropDown="false" showErrorMessage="false" showInputMessage="false" sqref="J3:J17" type="list">
      <formula1>"Compliant,Partial,Non-Compliant,N/A,Not Tested"</formula1>
      <formula2>0</formula2>
    </dataValidation>
    <dataValidation allowBlank="true" errorStyle="stop" operator="between" showDropDown="false" showErrorMessage="false" showInputMessage="false" sqref="Q3:Q17" type="list">
      <formula1>"Satisfactory,Needs Improvement,Unsatisfactory,N/A"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20"/>
    <col collapsed="false" customWidth="true" hidden="false" outlineLevel="0" max="18" min="17" style="0" width="14"/>
  </cols>
  <sheetData>
    <row r="1" customFormat="false" ht="27.75" hidden="false" customHeight="true" outlineLevel="0" collapsed="false">
      <c r="A1" s="22" t="s">
        <v>841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39.75" hidden="false" customHeight="true" outlineLevel="0" collapsed="false">
      <c r="A2" s="23" t="s">
        <v>44</v>
      </c>
      <c r="B2" s="23" t="s">
        <v>3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</row>
    <row r="3" customFormat="false" ht="54.75" hidden="false" customHeight="true" outlineLevel="0" collapsed="false">
      <c r="A3" s="24" t="s">
        <v>842</v>
      </c>
      <c r="B3" s="25" t="s">
        <v>23</v>
      </c>
      <c r="C3" s="25" t="s">
        <v>843</v>
      </c>
      <c r="D3" s="25" t="s">
        <v>844</v>
      </c>
      <c r="E3" s="25" t="s">
        <v>845</v>
      </c>
      <c r="F3" s="31" t="s">
        <v>73</v>
      </c>
      <c r="G3" s="25" t="s">
        <v>74</v>
      </c>
      <c r="H3" s="25" t="s">
        <v>846</v>
      </c>
      <c r="I3" s="25" t="s">
        <v>847</v>
      </c>
      <c r="J3" s="27" t="s">
        <v>69</v>
      </c>
      <c r="K3" s="25"/>
      <c r="L3" s="28"/>
      <c r="M3" s="25"/>
      <c r="N3" s="28"/>
      <c r="O3" s="25"/>
      <c r="P3" s="28"/>
      <c r="Q3" s="29"/>
      <c r="R3" s="28"/>
    </row>
    <row r="4" customFormat="false" ht="54.75" hidden="false" customHeight="true" outlineLevel="0" collapsed="false">
      <c r="A4" s="24" t="s">
        <v>848</v>
      </c>
      <c r="B4" s="30" t="s">
        <v>23</v>
      </c>
      <c r="C4" s="30" t="s">
        <v>843</v>
      </c>
      <c r="D4" s="30" t="s">
        <v>849</v>
      </c>
      <c r="E4" s="30" t="s">
        <v>850</v>
      </c>
      <c r="F4" s="31" t="s">
        <v>73</v>
      </c>
      <c r="G4" s="30" t="s">
        <v>74</v>
      </c>
      <c r="H4" s="30" t="s">
        <v>632</v>
      </c>
      <c r="I4" s="30" t="s">
        <v>851</v>
      </c>
      <c r="J4" s="27" t="s">
        <v>69</v>
      </c>
      <c r="K4" s="25"/>
      <c r="L4" s="28"/>
      <c r="M4" s="30"/>
      <c r="N4" s="28"/>
      <c r="O4" s="25"/>
      <c r="P4" s="28"/>
      <c r="Q4" s="29"/>
      <c r="R4" s="28"/>
    </row>
    <row r="5" customFormat="false" ht="54.75" hidden="false" customHeight="true" outlineLevel="0" collapsed="false">
      <c r="A5" s="24" t="s">
        <v>852</v>
      </c>
      <c r="B5" s="25" t="s">
        <v>23</v>
      </c>
      <c r="C5" s="25" t="s">
        <v>853</v>
      </c>
      <c r="D5" s="25" t="s">
        <v>854</v>
      </c>
      <c r="E5" s="25" t="s">
        <v>855</v>
      </c>
      <c r="F5" s="26" t="s">
        <v>65</v>
      </c>
      <c r="G5" s="25" t="s">
        <v>74</v>
      </c>
      <c r="H5" s="25" t="s">
        <v>85</v>
      </c>
      <c r="I5" s="25" t="s">
        <v>856</v>
      </c>
      <c r="J5" s="27" t="s">
        <v>69</v>
      </c>
      <c r="K5" s="25"/>
      <c r="L5" s="28"/>
      <c r="M5" s="25"/>
      <c r="N5" s="28"/>
      <c r="O5" s="25"/>
      <c r="P5" s="28"/>
      <c r="Q5" s="29"/>
      <c r="R5" s="28"/>
    </row>
    <row r="6" customFormat="false" ht="54.75" hidden="false" customHeight="true" outlineLevel="0" collapsed="false">
      <c r="A6" s="24" t="s">
        <v>857</v>
      </c>
      <c r="B6" s="30" t="s">
        <v>23</v>
      </c>
      <c r="C6" s="30" t="s">
        <v>853</v>
      </c>
      <c r="D6" s="30" t="s">
        <v>858</v>
      </c>
      <c r="E6" s="30" t="s">
        <v>859</v>
      </c>
      <c r="F6" s="24" t="s">
        <v>90</v>
      </c>
      <c r="G6" s="30" t="s">
        <v>74</v>
      </c>
      <c r="H6" s="30" t="s">
        <v>860</v>
      </c>
      <c r="I6" s="30" t="s">
        <v>861</v>
      </c>
      <c r="J6" s="27" t="s">
        <v>69</v>
      </c>
      <c r="K6" s="25"/>
      <c r="L6" s="28"/>
      <c r="M6" s="30"/>
      <c r="N6" s="28"/>
      <c r="O6" s="25"/>
      <c r="P6" s="28"/>
      <c r="Q6" s="29"/>
      <c r="R6" s="28"/>
    </row>
    <row r="7" customFormat="false" ht="54.75" hidden="false" customHeight="true" outlineLevel="0" collapsed="false">
      <c r="A7" s="24" t="s">
        <v>862</v>
      </c>
      <c r="B7" s="25" t="s">
        <v>23</v>
      </c>
      <c r="C7" s="25" t="s">
        <v>863</v>
      </c>
      <c r="D7" s="25" t="s">
        <v>864</v>
      </c>
      <c r="E7" s="25" t="s">
        <v>150</v>
      </c>
      <c r="F7" s="31" t="s">
        <v>73</v>
      </c>
      <c r="G7" s="25" t="s">
        <v>66</v>
      </c>
      <c r="H7" s="25" t="s">
        <v>280</v>
      </c>
      <c r="I7" s="25" t="s">
        <v>865</v>
      </c>
      <c r="J7" s="27" t="s">
        <v>69</v>
      </c>
      <c r="K7" s="25"/>
      <c r="L7" s="28"/>
      <c r="M7" s="25"/>
      <c r="N7" s="28"/>
      <c r="O7" s="25"/>
      <c r="P7" s="28"/>
      <c r="Q7" s="29"/>
      <c r="R7" s="28"/>
    </row>
    <row r="8" customFormat="false" ht="54.75" hidden="false" customHeight="true" outlineLevel="0" collapsed="false">
      <c r="A8" s="24" t="s">
        <v>866</v>
      </c>
      <c r="B8" s="30" t="s">
        <v>23</v>
      </c>
      <c r="C8" s="30" t="s">
        <v>867</v>
      </c>
      <c r="D8" s="30" t="s">
        <v>868</v>
      </c>
      <c r="E8" s="30" t="s">
        <v>869</v>
      </c>
      <c r="F8" s="31" t="s">
        <v>73</v>
      </c>
      <c r="G8" s="30" t="s">
        <v>74</v>
      </c>
      <c r="H8" s="30" t="s">
        <v>85</v>
      </c>
      <c r="I8" s="30" t="s">
        <v>870</v>
      </c>
      <c r="J8" s="27" t="s">
        <v>69</v>
      </c>
      <c r="K8" s="25"/>
      <c r="L8" s="28"/>
      <c r="M8" s="30"/>
      <c r="N8" s="28"/>
      <c r="O8" s="25"/>
      <c r="P8" s="28"/>
      <c r="Q8" s="29"/>
      <c r="R8" s="28"/>
    </row>
    <row r="9" customFormat="false" ht="54.75" hidden="false" customHeight="true" outlineLevel="0" collapsed="false">
      <c r="A9" s="24" t="s">
        <v>871</v>
      </c>
      <c r="B9" s="25" t="s">
        <v>23</v>
      </c>
      <c r="C9" s="25" t="s">
        <v>867</v>
      </c>
      <c r="D9" s="25" t="s">
        <v>872</v>
      </c>
      <c r="E9" s="25" t="s">
        <v>873</v>
      </c>
      <c r="F9" s="24" t="s">
        <v>90</v>
      </c>
      <c r="G9" s="25" t="s">
        <v>74</v>
      </c>
      <c r="H9" s="25" t="s">
        <v>67</v>
      </c>
      <c r="I9" s="25" t="s">
        <v>874</v>
      </c>
      <c r="J9" s="27" t="s">
        <v>69</v>
      </c>
      <c r="K9" s="25"/>
      <c r="L9" s="28"/>
      <c r="M9" s="25"/>
      <c r="N9" s="28"/>
      <c r="O9" s="25"/>
      <c r="P9" s="28"/>
      <c r="Q9" s="29"/>
      <c r="R9" s="28"/>
    </row>
    <row r="10" customFormat="false" ht="54.75" hidden="false" customHeight="true" outlineLevel="0" collapsed="false">
      <c r="A10" s="24" t="s">
        <v>875</v>
      </c>
      <c r="B10" s="30" t="s">
        <v>23</v>
      </c>
      <c r="C10" s="30" t="s">
        <v>876</v>
      </c>
      <c r="D10" s="30" t="s">
        <v>877</v>
      </c>
      <c r="E10" s="30" t="s">
        <v>878</v>
      </c>
      <c r="F10" s="31" t="s">
        <v>73</v>
      </c>
      <c r="G10" s="30" t="s">
        <v>74</v>
      </c>
      <c r="H10" s="30" t="s">
        <v>85</v>
      </c>
      <c r="I10" s="30" t="s">
        <v>879</v>
      </c>
      <c r="J10" s="27" t="s">
        <v>69</v>
      </c>
      <c r="K10" s="25"/>
      <c r="L10" s="28"/>
      <c r="M10" s="30"/>
      <c r="N10" s="28"/>
      <c r="O10" s="25"/>
      <c r="P10" s="28"/>
      <c r="Q10" s="29"/>
      <c r="R10" s="28"/>
    </row>
    <row r="11" customFormat="false" ht="54.75" hidden="false" customHeight="true" outlineLevel="0" collapsed="false">
      <c r="A11" s="24" t="s">
        <v>880</v>
      </c>
      <c r="B11" s="25" t="s">
        <v>23</v>
      </c>
      <c r="C11" s="25" t="s">
        <v>881</v>
      </c>
      <c r="D11" s="25" t="s">
        <v>882</v>
      </c>
      <c r="E11" s="25" t="s">
        <v>883</v>
      </c>
      <c r="F11" s="32" t="s">
        <v>884</v>
      </c>
      <c r="G11" s="25" t="s">
        <v>66</v>
      </c>
      <c r="H11" s="25" t="s">
        <v>75</v>
      </c>
      <c r="I11" s="25" t="s">
        <v>885</v>
      </c>
      <c r="J11" s="27" t="s">
        <v>69</v>
      </c>
      <c r="K11" s="25"/>
      <c r="L11" s="28"/>
      <c r="M11" s="25"/>
      <c r="N11" s="28"/>
      <c r="O11" s="25"/>
      <c r="P11" s="28"/>
      <c r="Q11" s="29"/>
      <c r="R11" s="28"/>
    </row>
    <row r="12" customFormat="false" ht="54.75" hidden="false" customHeight="true" outlineLevel="0" collapsed="false">
      <c r="A12" s="24" t="s">
        <v>886</v>
      </c>
      <c r="B12" s="30" t="s">
        <v>23</v>
      </c>
      <c r="C12" s="30" t="s">
        <v>887</v>
      </c>
      <c r="D12" s="30" t="s">
        <v>888</v>
      </c>
      <c r="E12" s="30" t="s">
        <v>889</v>
      </c>
      <c r="F12" s="24" t="s">
        <v>90</v>
      </c>
      <c r="G12" s="30" t="s">
        <v>74</v>
      </c>
      <c r="H12" s="30" t="s">
        <v>75</v>
      </c>
      <c r="I12" s="30" t="s">
        <v>890</v>
      </c>
      <c r="J12" s="27" t="s">
        <v>69</v>
      </c>
      <c r="K12" s="25"/>
      <c r="L12" s="28"/>
      <c r="M12" s="30"/>
      <c r="N12" s="28"/>
      <c r="O12" s="25"/>
      <c r="P12" s="28"/>
      <c r="Q12" s="29"/>
      <c r="R12" s="28"/>
    </row>
  </sheetData>
  <mergeCells count="1">
    <mergeCell ref="A1:R1"/>
  </mergeCells>
  <conditionalFormatting sqref="J3:J12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"Non-Compliant"</formula>
    </cfRule>
    <cfRule type="cellIs" priority="4" operator="equal" aboveAverage="0" equalAverage="0" bottom="0" percent="0" rank="0" text="" dxfId="2">
      <formula>"Partial"</formula>
    </cfRule>
  </conditionalFormatting>
  <dataValidations count="2">
    <dataValidation allowBlank="true" errorStyle="stop" operator="between" showDropDown="false" showErrorMessage="false" showInputMessage="false" sqref="J3:J12" type="list">
      <formula1>"Compliant,Partial,Non-Compliant,N/A,Not Tested"</formula1>
      <formula2>0</formula2>
    </dataValidation>
    <dataValidation allowBlank="true" errorStyle="stop" operator="between" showDropDown="false" showErrorMessage="false" showInputMessage="false" sqref="Q3:Q12" type="list">
      <formula1>"Satisfactory,Needs Improvement,Unsatisfactory,N/A"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13"/>
    <col collapsed="false" customWidth="true" hidden="false" outlineLevel="0" max="9" min="9" style="0" width="35"/>
    <col collapsed="false" customWidth="true" hidden="false" outlineLevel="0" max="10" min="10" style="0" width="16"/>
    <col collapsed="false" customWidth="true" hidden="false" outlineLevel="0" max="11" min="11" style="0" width="35"/>
    <col collapsed="false" customWidth="true" hidden="false" outlineLevel="0" max="12" min="12" style="0" width="30"/>
    <col collapsed="false" customWidth="true" hidden="false" outlineLevel="0" max="13" min="13" style="0" width="18"/>
    <col collapsed="false" customWidth="true" hidden="false" outlineLevel="0" max="14" min="14" style="0" width="13"/>
    <col collapsed="false" customWidth="true" hidden="false" outlineLevel="0" max="15" min="15" style="0" width="30"/>
    <col collapsed="false" customWidth="true" hidden="false" outlineLevel="0" max="16" min="16" style="0" width="20"/>
    <col collapsed="false" customWidth="true" hidden="false" outlineLevel="0" max="18" min="17" style="0" width="14"/>
  </cols>
  <sheetData>
    <row r="1" customFormat="false" ht="27.75" hidden="false" customHeight="true" outlineLevel="0" collapsed="false">
      <c r="A1" s="22" t="s">
        <v>891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customFormat="false" ht="39.75" hidden="false" customHeight="true" outlineLevel="0" collapsed="false">
      <c r="A2" s="23" t="s">
        <v>44</v>
      </c>
      <c r="B2" s="23" t="s">
        <v>3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</row>
    <row r="3" customFormat="false" ht="54.75" hidden="false" customHeight="true" outlineLevel="0" collapsed="false">
      <c r="A3" s="24" t="s">
        <v>892</v>
      </c>
      <c r="B3" s="25" t="s">
        <v>25</v>
      </c>
      <c r="C3" s="25" t="s">
        <v>893</v>
      </c>
      <c r="D3" s="25" t="s">
        <v>894</v>
      </c>
      <c r="E3" s="25" t="s">
        <v>806</v>
      </c>
      <c r="F3" s="26" t="s">
        <v>65</v>
      </c>
      <c r="G3" s="25" t="s">
        <v>66</v>
      </c>
      <c r="H3" s="25" t="s">
        <v>280</v>
      </c>
      <c r="I3" s="25" t="s">
        <v>895</v>
      </c>
      <c r="J3" s="27" t="s">
        <v>69</v>
      </c>
      <c r="K3" s="25"/>
      <c r="L3" s="28"/>
      <c r="M3" s="25"/>
      <c r="N3" s="28"/>
      <c r="O3" s="25"/>
      <c r="P3" s="28"/>
      <c r="Q3" s="29"/>
      <c r="R3" s="28"/>
    </row>
    <row r="4" customFormat="false" ht="54.75" hidden="false" customHeight="true" outlineLevel="0" collapsed="false">
      <c r="A4" s="24" t="s">
        <v>896</v>
      </c>
      <c r="B4" s="30" t="s">
        <v>25</v>
      </c>
      <c r="C4" s="30" t="s">
        <v>893</v>
      </c>
      <c r="D4" s="30" t="s">
        <v>897</v>
      </c>
      <c r="E4" s="30" t="s">
        <v>898</v>
      </c>
      <c r="F4" s="31" t="s">
        <v>73</v>
      </c>
      <c r="G4" s="30" t="s">
        <v>66</v>
      </c>
      <c r="H4" s="30" t="s">
        <v>67</v>
      </c>
      <c r="I4" s="30" t="s">
        <v>899</v>
      </c>
      <c r="J4" s="27" t="s">
        <v>69</v>
      </c>
      <c r="K4" s="25"/>
      <c r="L4" s="28"/>
      <c r="M4" s="30"/>
      <c r="N4" s="28"/>
      <c r="O4" s="25"/>
      <c r="P4" s="28"/>
      <c r="Q4" s="29"/>
      <c r="R4" s="28"/>
    </row>
    <row r="5" customFormat="false" ht="54.75" hidden="false" customHeight="true" outlineLevel="0" collapsed="false">
      <c r="A5" s="24" t="s">
        <v>900</v>
      </c>
      <c r="B5" s="25" t="s">
        <v>25</v>
      </c>
      <c r="C5" s="25" t="s">
        <v>901</v>
      </c>
      <c r="D5" s="25" t="s">
        <v>902</v>
      </c>
      <c r="E5" s="25" t="s">
        <v>903</v>
      </c>
      <c r="F5" s="26" t="s">
        <v>65</v>
      </c>
      <c r="G5" s="25" t="s">
        <v>66</v>
      </c>
      <c r="H5" s="25" t="s">
        <v>85</v>
      </c>
      <c r="I5" s="25" t="s">
        <v>904</v>
      </c>
      <c r="J5" s="27" t="s">
        <v>69</v>
      </c>
      <c r="K5" s="25"/>
      <c r="L5" s="28"/>
      <c r="M5" s="25"/>
      <c r="N5" s="28"/>
      <c r="O5" s="25"/>
      <c r="P5" s="28"/>
      <c r="Q5" s="29"/>
      <c r="R5" s="28"/>
    </row>
    <row r="6" customFormat="false" ht="54.75" hidden="false" customHeight="true" outlineLevel="0" collapsed="false">
      <c r="A6" s="24" t="s">
        <v>905</v>
      </c>
      <c r="B6" s="30" t="s">
        <v>25</v>
      </c>
      <c r="C6" s="30" t="s">
        <v>901</v>
      </c>
      <c r="D6" s="30" t="s">
        <v>906</v>
      </c>
      <c r="E6" s="30" t="s">
        <v>907</v>
      </c>
      <c r="F6" s="31" t="s">
        <v>73</v>
      </c>
      <c r="G6" s="30" t="s">
        <v>66</v>
      </c>
      <c r="H6" s="30" t="s">
        <v>85</v>
      </c>
      <c r="I6" s="30" t="s">
        <v>908</v>
      </c>
      <c r="J6" s="27" t="s">
        <v>69</v>
      </c>
      <c r="K6" s="25"/>
      <c r="L6" s="28"/>
      <c r="M6" s="30"/>
      <c r="N6" s="28"/>
      <c r="O6" s="25"/>
      <c r="P6" s="28"/>
      <c r="Q6" s="29"/>
      <c r="R6" s="28"/>
    </row>
    <row r="7" customFormat="false" ht="54.75" hidden="false" customHeight="true" outlineLevel="0" collapsed="false">
      <c r="A7" s="24" t="s">
        <v>909</v>
      </c>
      <c r="B7" s="25" t="s">
        <v>25</v>
      </c>
      <c r="C7" s="25" t="s">
        <v>910</v>
      </c>
      <c r="D7" s="25" t="s">
        <v>911</v>
      </c>
      <c r="E7" s="25" t="s">
        <v>150</v>
      </c>
      <c r="F7" s="31" t="s">
        <v>73</v>
      </c>
      <c r="G7" s="25" t="s">
        <v>74</v>
      </c>
      <c r="H7" s="25" t="s">
        <v>75</v>
      </c>
      <c r="I7" s="25" t="s">
        <v>912</v>
      </c>
      <c r="J7" s="27" t="s">
        <v>69</v>
      </c>
      <c r="K7" s="25"/>
      <c r="L7" s="28"/>
      <c r="M7" s="25"/>
      <c r="N7" s="28"/>
      <c r="O7" s="25"/>
      <c r="P7" s="28"/>
      <c r="Q7" s="29"/>
      <c r="R7" s="28"/>
    </row>
    <row r="8" customFormat="false" ht="54.75" hidden="false" customHeight="true" outlineLevel="0" collapsed="false">
      <c r="A8" s="24" t="s">
        <v>913</v>
      </c>
      <c r="B8" s="30" t="s">
        <v>25</v>
      </c>
      <c r="C8" s="30" t="s">
        <v>914</v>
      </c>
      <c r="D8" s="30" t="s">
        <v>915</v>
      </c>
      <c r="E8" s="30" t="s">
        <v>150</v>
      </c>
      <c r="F8" s="26" t="s">
        <v>65</v>
      </c>
      <c r="G8" s="30" t="s">
        <v>74</v>
      </c>
      <c r="H8" s="30" t="s">
        <v>75</v>
      </c>
      <c r="I8" s="30" t="s">
        <v>916</v>
      </c>
      <c r="J8" s="27" t="s">
        <v>69</v>
      </c>
      <c r="K8" s="25"/>
      <c r="L8" s="28"/>
      <c r="M8" s="30"/>
      <c r="N8" s="28"/>
      <c r="O8" s="25"/>
      <c r="P8" s="28"/>
      <c r="Q8" s="29"/>
      <c r="R8" s="28"/>
    </row>
    <row r="9" customFormat="false" ht="54.75" hidden="false" customHeight="true" outlineLevel="0" collapsed="false">
      <c r="A9" s="24" t="s">
        <v>917</v>
      </c>
      <c r="B9" s="25" t="s">
        <v>25</v>
      </c>
      <c r="C9" s="25" t="s">
        <v>918</v>
      </c>
      <c r="D9" s="25" t="s">
        <v>919</v>
      </c>
      <c r="E9" s="25" t="s">
        <v>150</v>
      </c>
      <c r="F9" s="31" t="s">
        <v>73</v>
      </c>
      <c r="G9" s="25" t="s">
        <v>74</v>
      </c>
      <c r="H9" s="25" t="s">
        <v>75</v>
      </c>
      <c r="I9" s="25" t="s">
        <v>920</v>
      </c>
      <c r="J9" s="27" t="s">
        <v>69</v>
      </c>
      <c r="K9" s="25"/>
      <c r="L9" s="28"/>
      <c r="M9" s="25"/>
      <c r="N9" s="28"/>
      <c r="O9" s="25"/>
      <c r="P9" s="28"/>
      <c r="Q9" s="29"/>
      <c r="R9" s="28"/>
    </row>
    <row r="10" customFormat="false" ht="54.75" hidden="false" customHeight="true" outlineLevel="0" collapsed="false">
      <c r="A10" s="24" t="s">
        <v>921</v>
      </c>
      <c r="B10" s="30" t="s">
        <v>25</v>
      </c>
      <c r="C10" s="30" t="s">
        <v>922</v>
      </c>
      <c r="D10" s="30" t="s">
        <v>923</v>
      </c>
      <c r="E10" s="30" t="s">
        <v>150</v>
      </c>
      <c r="F10" s="31" t="s">
        <v>73</v>
      </c>
      <c r="G10" s="30" t="s">
        <v>66</v>
      </c>
      <c r="H10" s="30" t="s">
        <v>924</v>
      </c>
      <c r="I10" s="30" t="s">
        <v>925</v>
      </c>
      <c r="J10" s="27" t="s">
        <v>69</v>
      </c>
      <c r="K10" s="25"/>
      <c r="L10" s="28"/>
      <c r="M10" s="30"/>
      <c r="N10" s="28"/>
      <c r="O10" s="25"/>
      <c r="P10" s="28"/>
      <c r="Q10" s="29"/>
      <c r="R10" s="28"/>
    </row>
    <row r="11" customFormat="false" ht="54.75" hidden="false" customHeight="true" outlineLevel="0" collapsed="false">
      <c r="A11" s="24" t="s">
        <v>926</v>
      </c>
      <c r="B11" s="25" t="s">
        <v>25</v>
      </c>
      <c r="C11" s="25" t="s">
        <v>927</v>
      </c>
      <c r="D11" s="25" t="s">
        <v>928</v>
      </c>
      <c r="E11" s="25" t="s">
        <v>929</v>
      </c>
      <c r="F11" s="32" t="s">
        <v>884</v>
      </c>
      <c r="G11" s="25" t="s">
        <v>74</v>
      </c>
      <c r="H11" s="25" t="s">
        <v>75</v>
      </c>
      <c r="I11" s="25" t="s">
        <v>930</v>
      </c>
      <c r="J11" s="27" t="s">
        <v>69</v>
      </c>
      <c r="K11" s="25"/>
      <c r="L11" s="28"/>
      <c r="M11" s="25"/>
      <c r="N11" s="28"/>
      <c r="O11" s="25"/>
      <c r="P11" s="28"/>
      <c r="Q11" s="29"/>
      <c r="R11" s="28"/>
    </row>
    <row r="12" customFormat="false" ht="54.75" hidden="false" customHeight="true" outlineLevel="0" collapsed="false">
      <c r="A12" s="24" t="s">
        <v>931</v>
      </c>
      <c r="B12" s="30" t="s">
        <v>25</v>
      </c>
      <c r="C12" s="30" t="s">
        <v>932</v>
      </c>
      <c r="D12" s="30" t="s">
        <v>933</v>
      </c>
      <c r="E12" s="30" t="s">
        <v>934</v>
      </c>
      <c r="F12" s="31" t="s">
        <v>73</v>
      </c>
      <c r="G12" s="30" t="s">
        <v>74</v>
      </c>
      <c r="H12" s="30" t="s">
        <v>75</v>
      </c>
      <c r="I12" s="30" t="s">
        <v>935</v>
      </c>
      <c r="J12" s="27" t="s">
        <v>69</v>
      </c>
      <c r="K12" s="25"/>
      <c r="L12" s="28"/>
      <c r="M12" s="30"/>
      <c r="N12" s="28"/>
      <c r="O12" s="25"/>
      <c r="P12" s="28"/>
      <c r="Q12" s="29"/>
      <c r="R12" s="28"/>
    </row>
  </sheetData>
  <mergeCells count="1">
    <mergeCell ref="A1:R1"/>
  </mergeCells>
  <conditionalFormatting sqref="J3:J12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"Non-Compliant"</formula>
    </cfRule>
    <cfRule type="cellIs" priority="4" operator="equal" aboveAverage="0" equalAverage="0" bottom="0" percent="0" rank="0" text="" dxfId="2">
      <formula>"Partial"</formula>
    </cfRule>
  </conditionalFormatting>
  <dataValidations count="2">
    <dataValidation allowBlank="true" errorStyle="stop" operator="between" showDropDown="false" showErrorMessage="false" showInputMessage="false" sqref="J3:J12" type="list">
      <formula1>"Compliant,Partial,Non-Compliant,N/A,Not Tested"</formula1>
      <formula2>0</formula2>
    </dataValidation>
    <dataValidation allowBlank="true" errorStyle="stop" operator="between" showDropDown="false" showErrorMessage="false" showInputMessage="false" sqref="Q3:Q12" type="list">
      <formula1>"Satisfactory,Needs Improvement,Unsatisfactory,N/A"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/>
  <dcterms:created xsi:type="dcterms:W3CDTF">2026-04-15T06:23:11Z</dcterms:created>
  <dcterms:modified xsi:type="dcterms:W3CDTF">2026-04-15T06:23:12Z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